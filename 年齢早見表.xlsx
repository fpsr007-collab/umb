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97A1CA4-0B43-4CAB-8403-3ECD5DB24CF9}" xr6:coauthVersionLast="47" xr6:coauthVersionMax="47" xr10:uidLastSave="{00000000-0000-0000-0000-000000000000}"/>
  <bookViews>
    <workbookView xWindow="-108" yWindow="-108" windowWidth="30936" windowHeight="16776" activeTab="1" xr2:uid="{87492EB5-9F7E-4865-A174-B70322725E82}"/>
  </bookViews>
  <sheets>
    <sheet name="印刷" sheetId="1" r:id="rId1"/>
    <sheet name="ツール" sheetId="2" r:id="rId2"/>
  </sheets>
  <definedNames>
    <definedName name="_xlnm.Print_Area" localSheetId="0">印刷!$A$1:$P$44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" l="1"/>
  <c r="M33" i="1"/>
  <c r="L33" i="1"/>
  <c r="L32" i="1" s="1"/>
  <c r="L31" i="1" s="1"/>
  <c r="L30" i="1" s="1"/>
  <c r="L29" i="1" s="1"/>
  <c r="L28" i="1" s="1"/>
  <c r="L27" i="1" s="1"/>
  <c r="L26" i="1" s="1"/>
  <c r="L25" i="1" s="1"/>
  <c r="L24" i="1" s="1"/>
  <c r="L23" i="1" s="1"/>
  <c r="L22" i="1" s="1"/>
  <c r="L21" i="1" s="1"/>
  <c r="L20" i="1" s="1"/>
  <c r="L19" i="1" s="1"/>
  <c r="L18" i="1" s="1"/>
  <c r="L17" i="1" s="1"/>
  <c r="L16" i="1" s="1"/>
  <c r="L15" i="1" s="1"/>
  <c r="L14" i="1" s="1"/>
  <c r="L13" i="1" s="1"/>
  <c r="L12" i="1" s="1"/>
  <c r="L11" i="1" s="1"/>
  <c r="L10" i="1" s="1"/>
  <c r="L9" i="1" s="1"/>
  <c r="L8" i="1" s="1"/>
  <c r="L7" i="1" s="1"/>
  <c r="L6" i="1" s="1"/>
  <c r="L5" i="1" s="1"/>
  <c r="L4" i="1" s="1"/>
  <c r="G38" i="1" s="1"/>
  <c r="D40" i="1" l="1"/>
  <c r="D41" i="1"/>
  <c r="D42" i="1"/>
  <c r="G37" i="1"/>
  <c r="G36" i="1" s="1"/>
  <c r="G35" i="1" s="1"/>
  <c r="G34" i="1" s="1"/>
  <c r="G33" i="1" s="1"/>
  <c r="G32" i="1" s="1"/>
  <c r="G31" i="1" s="1"/>
  <c r="G30" i="1" s="1"/>
  <c r="G29" i="1" s="1"/>
  <c r="G28" i="1" s="1"/>
  <c r="G27" i="1" s="1"/>
  <c r="G26" i="1" s="1"/>
  <c r="G25" i="1" s="1"/>
  <c r="G24" i="1" s="1"/>
  <c r="G23" i="1" s="1"/>
  <c r="G22" i="1" s="1"/>
  <c r="G21" i="1" s="1"/>
  <c r="G20" i="1" s="1"/>
  <c r="G19" i="1" s="1"/>
  <c r="G18" i="1" s="1"/>
  <c r="G17" i="1" s="1"/>
  <c r="G16" i="1" s="1"/>
  <c r="G15" i="1" s="1"/>
  <c r="G14" i="1" s="1"/>
  <c r="G13" i="1" s="1"/>
  <c r="G12" i="1" s="1"/>
  <c r="G11" i="1" s="1"/>
  <c r="G10" i="1" s="1"/>
  <c r="G9" i="1" s="1"/>
  <c r="G8" i="1" s="1"/>
  <c r="G7" i="1" s="1"/>
  <c r="G6" i="1" s="1"/>
  <c r="G5" i="1" s="1"/>
  <c r="G4" i="1" s="1"/>
  <c r="B38" i="1" s="1"/>
  <c r="B37" i="1" s="1"/>
  <c r="B36" i="1" s="1"/>
  <c r="B35" i="1" s="1"/>
  <c r="B34" i="1" s="1"/>
  <c r="D44" i="1" s="1"/>
  <c r="M25" i="1"/>
  <c r="M17" i="1"/>
  <c r="M11" i="1"/>
  <c r="M27" i="1"/>
  <c r="M4" i="1"/>
  <c r="H38" i="1" s="1"/>
  <c r="H37" i="1" s="1"/>
  <c r="H36" i="1" s="1"/>
  <c r="H35" i="1" s="1"/>
  <c r="H34" i="1" s="1"/>
  <c r="H33" i="1" s="1"/>
  <c r="H32" i="1" s="1"/>
  <c r="M20" i="1"/>
  <c r="M5" i="1"/>
  <c r="M29" i="1"/>
  <c r="M6" i="1"/>
  <c r="M14" i="1"/>
  <c r="M22" i="1"/>
  <c r="M30" i="1"/>
  <c r="M19" i="1"/>
  <c r="M12" i="1"/>
  <c r="M7" i="1"/>
  <c r="M15" i="1"/>
  <c r="M23" i="1"/>
  <c r="M31" i="1"/>
  <c r="M28" i="1"/>
  <c r="M13" i="1"/>
  <c r="M21" i="1"/>
  <c r="M8" i="1"/>
  <c r="M16" i="1"/>
  <c r="M24" i="1"/>
  <c r="M32" i="1"/>
  <c r="M9" i="1"/>
  <c r="M10" i="1"/>
  <c r="M18" i="1"/>
  <c r="M26" i="1"/>
  <c r="B33" i="1" l="1"/>
  <c r="B32" i="1" s="1"/>
  <c r="B31" i="1" s="1"/>
  <c r="B30" i="1" s="1"/>
  <c r="B29" i="1" s="1"/>
  <c r="B28" i="1" s="1"/>
  <c r="B27" i="1" s="1"/>
  <c r="B26" i="1" s="1"/>
  <c r="B25" i="1" s="1"/>
  <c r="B24" i="1" s="1"/>
  <c r="B23" i="1" s="1"/>
  <c r="B22" i="1" s="1"/>
  <c r="B21" i="1" s="1"/>
  <c r="B20" i="1" s="1"/>
  <c r="B19" i="1" s="1"/>
  <c r="B18" i="1" s="1"/>
  <c r="B17" i="1" s="1"/>
  <c r="B16" i="1" s="1"/>
  <c r="B15" i="1" s="1"/>
  <c r="B14" i="1" s="1"/>
  <c r="B13" i="1" s="1"/>
  <c r="B12" i="1" s="1"/>
  <c r="B11" i="1" s="1"/>
  <c r="B10" i="1" s="1"/>
  <c r="B9" i="1" s="1"/>
  <c r="B8" i="1" s="1"/>
  <c r="B7" i="1" s="1"/>
  <c r="B6" i="1" s="1"/>
  <c r="B5" i="1" s="1"/>
  <c r="B4" i="1" s="1"/>
  <c r="D43" i="1"/>
  <c r="H31" i="1"/>
  <c r="H30" i="1" s="1"/>
  <c r="H29" i="1" s="1"/>
  <c r="H28" i="1" s="1"/>
  <c r="H27" i="1" s="1"/>
  <c r="H26" i="1" s="1"/>
  <c r="H25" i="1" s="1"/>
  <c r="H24" i="1" s="1"/>
  <c r="H23" i="1" s="1"/>
  <c r="H22" i="1" s="1"/>
  <c r="H21" i="1" s="1"/>
  <c r="H20" i="1" s="1"/>
  <c r="H19" i="1" s="1"/>
  <c r="H18" i="1" s="1"/>
  <c r="H17" i="1" s="1"/>
  <c r="H16" i="1" s="1"/>
  <c r="H15" i="1" s="1"/>
  <c r="H14" i="1" s="1"/>
  <c r="H13" i="1" s="1"/>
  <c r="H12" i="1" s="1"/>
  <c r="H11" i="1" s="1"/>
  <c r="H10" i="1" s="1"/>
  <c r="H9" i="1" s="1"/>
  <c r="H8" i="1" s="1"/>
  <c r="H7" i="1" s="1"/>
  <c r="H6" i="1" s="1"/>
  <c r="H5" i="1" s="1"/>
  <c r="H4" i="1" s="1"/>
  <c r="C38" i="1" s="1"/>
  <c r="C37" i="1" s="1"/>
  <c r="C36" i="1" s="1"/>
  <c r="C35" i="1" s="1"/>
  <c r="C34" i="1" s="1"/>
  <c r="C33" i="1" s="1"/>
  <c r="C32" i="1" s="1"/>
  <c r="C31" i="1" s="1"/>
  <c r="C30" i="1" s="1"/>
  <c r="C29" i="1" s="1"/>
  <c r="C28" i="1" s="1"/>
  <c r="C27" i="1" s="1"/>
  <c r="C26" i="1" s="1"/>
  <c r="C25" i="1" s="1"/>
  <c r="C24" i="1" s="1"/>
  <c r="C23" i="1" s="1"/>
  <c r="C22" i="1" s="1"/>
  <c r="C21" i="1" s="1"/>
  <c r="C20" i="1" s="1"/>
  <c r="C19" i="1" s="1"/>
  <c r="C18" i="1" s="1"/>
  <c r="C17" i="1" s="1"/>
  <c r="C16" i="1" s="1"/>
  <c r="C15" i="1" s="1"/>
  <c r="C14" i="1" s="1"/>
  <c r="C13" i="1" s="1"/>
  <c r="C12" i="1" s="1"/>
  <c r="C11" i="1" s="1"/>
  <c r="C10" i="1" s="1"/>
  <c r="C9" i="1" s="1"/>
  <c r="C8" i="1" s="1"/>
  <c r="C7" i="1" s="1"/>
  <c r="C6" i="1" s="1"/>
  <c r="C5" i="1" s="1"/>
  <c r="C4" i="1" s="1"/>
</calcChain>
</file>

<file path=xl/sharedStrings.xml><?xml version="1.0" encoding="utf-8"?>
<sst xmlns="http://schemas.openxmlformats.org/spreadsheetml/2006/main" count="37" uniqueCount="31">
  <si>
    <t>年</t>
    <rPh sb="0" eb="1">
      <t>トシ</t>
    </rPh>
    <phoneticPr fontId="1"/>
  </si>
  <si>
    <t>和暦</t>
    <rPh sb="0" eb="2">
      <t>ワレキ</t>
    </rPh>
    <phoneticPr fontId="1"/>
  </si>
  <si>
    <t>西暦</t>
    <rPh sb="0" eb="2">
      <t>セイレキ</t>
    </rPh>
    <phoneticPr fontId="1"/>
  </si>
  <si>
    <t>年齢</t>
    <rPh sb="0" eb="2">
      <t>ネンレイ</t>
    </rPh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</si>
  <si>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</si>
  <si>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</si>
  <si>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</si>
  <si>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</si>
  <si>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①40歳で介護保険徴収開始</t>
    <rPh sb="3" eb="4">
      <t>サイ</t>
    </rPh>
    <rPh sb="5" eb="9">
      <t>カイゴホケン</t>
    </rPh>
    <rPh sb="9" eb="13">
      <t>チョウシュウカイシ</t>
    </rPh>
    <phoneticPr fontId="1"/>
  </si>
  <si>
    <t>②65歳で介護保険徴収終了</t>
    <rPh sb="3" eb="4">
      <t>サイ</t>
    </rPh>
    <rPh sb="5" eb="9">
      <t>カイゴホケン</t>
    </rPh>
    <rPh sb="9" eb="11">
      <t>チョウシュウ</t>
    </rPh>
    <rPh sb="11" eb="13">
      <t>シュウリョウ</t>
    </rPh>
    <phoneticPr fontId="1"/>
  </si>
  <si>
    <t>≪社会保険加入者≫</t>
    <rPh sb="1" eb="5">
      <t>シャカイホケン</t>
    </rPh>
    <rPh sb="5" eb="8">
      <t>カニュウシャ</t>
    </rPh>
    <phoneticPr fontId="1"/>
  </si>
  <si>
    <t>③70歳で厚生年金徴収終了</t>
    <rPh sb="3" eb="4">
      <t>サイ</t>
    </rPh>
    <rPh sb="5" eb="9">
      <t>コウセイネンキン</t>
    </rPh>
    <rPh sb="9" eb="13">
      <t>チョウシュウシュウリョウ</t>
    </rPh>
    <phoneticPr fontId="1"/>
  </si>
  <si>
    <t>④75歳で健康保険徴収終了</t>
    <rPh sb="3" eb="4">
      <t>サイ</t>
    </rPh>
    <rPh sb="5" eb="9">
      <t>ケンコウホケン</t>
    </rPh>
    <rPh sb="9" eb="11">
      <t>チョウシュウ</t>
    </rPh>
    <rPh sb="11" eb="13">
      <t>シュウリョウ</t>
    </rPh>
    <phoneticPr fontId="1"/>
  </si>
  <si>
    <t>年少扶養(～15歳)</t>
    <rPh sb="0" eb="4">
      <t>ネンショウフヨウ</t>
    </rPh>
    <rPh sb="8" eb="9">
      <t>サイ</t>
    </rPh>
    <phoneticPr fontId="1"/>
  </si>
  <si>
    <t>一般扶養(16歳～18歳)</t>
    <rPh sb="0" eb="2">
      <t>イッパン</t>
    </rPh>
    <rPh sb="2" eb="4">
      <t>フヨウ</t>
    </rPh>
    <rPh sb="7" eb="8">
      <t>サイ</t>
    </rPh>
    <rPh sb="11" eb="12">
      <t>サイ</t>
    </rPh>
    <phoneticPr fontId="1"/>
  </si>
  <si>
    <t>特定扶養(19歳～23歳)</t>
    <rPh sb="0" eb="4">
      <t>トクテイフヨウ</t>
    </rPh>
    <rPh sb="7" eb="8">
      <t>サイ</t>
    </rPh>
    <rPh sb="11" eb="12">
      <t>サイ</t>
    </rPh>
    <phoneticPr fontId="1"/>
  </si>
  <si>
    <t>一般扶養(24歳～69歳)</t>
    <rPh sb="0" eb="2">
      <t>イッパン</t>
    </rPh>
    <rPh sb="2" eb="4">
      <t>フヨウ</t>
    </rPh>
    <rPh sb="7" eb="8">
      <t>サイ</t>
    </rPh>
    <rPh sb="11" eb="12">
      <t>サイ</t>
    </rPh>
    <phoneticPr fontId="1"/>
  </si>
  <si>
    <t>老人扶養(70歳～)</t>
    <rPh sb="0" eb="4">
      <t>ロウジンフヨウ</t>
    </rPh>
    <rPh sb="7" eb="8">
      <t>サイ</t>
    </rPh>
    <phoneticPr fontId="1"/>
  </si>
  <si>
    <t>※元号はそれぞれの年の１月１日時点</t>
    <rPh sb="1" eb="3">
      <t>ゲンゴウ</t>
    </rPh>
    <rPh sb="9" eb="10">
      <t>トシ</t>
    </rPh>
    <rPh sb="12" eb="13">
      <t>ガツ</t>
    </rPh>
    <rPh sb="14" eb="15">
      <t>ニチ</t>
    </rPh>
    <rPh sb="15" eb="17">
      <t>ジテン</t>
    </rPh>
    <phoneticPr fontId="1"/>
  </si>
  <si>
    <t>(作成:2026年)</t>
    <rPh sb="1" eb="3">
      <t>サクセイ</t>
    </rPh>
    <rPh sb="8" eb="9">
      <t>ネン</t>
    </rPh>
    <phoneticPr fontId="1"/>
  </si>
  <si>
    <t>※前日加齢に注意</t>
    <rPh sb="1" eb="3">
      <t>ゼンジツ</t>
    </rPh>
    <rPh sb="3" eb="5">
      <t>カレイ</t>
    </rPh>
    <rPh sb="6" eb="8">
      <t>チュウイ</t>
    </rPh>
    <phoneticPr fontId="1"/>
  </si>
  <si>
    <t>※①～③は前日加齢、④のみ当日加齢</t>
    <phoneticPr fontId="1"/>
  </si>
  <si>
    <t>※終了日が空白の場合は今日を終了日扱いとして期間判定します。</t>
    <rPh sb="1" eb="4">
      <t>シュウリョウビ</t>
    </rPh>
    <rPh sb="5" eb="7">
      <t>クウハク</t>
    </rPh>
    <rPh sb="8" eb="10">
      <t>バアイ</t>
    </rPh>
    <rPh sb="11" eb="13">
      <t>キョウ</t>
    </rPh>
    <rPh sb="14" eb="17">
      <t>シュウリョウビ</t>
    </rPh>
    <rPh sb="17" eb="18">
      <t>アツカ</t>
    </rPh>
    <rPh sb="22" eb="26">
      <t>キカンハンテイ</t>
    </rPh>
    <phoneticPr fontId="1"/>
  </si>
  <si>
    <t>開始日</t>
    <rPh sb="0" eb="3">
      <t>カイシビ</t>
    </rPh>
    <phoneticPr fontId="1"/>
  </si>
  <si>
    <t>終了日</t>
    <rPh sb="0" eb="3">
      <t>シュウリョウビ</t>
    </rPh>
    <phoneticPr fontId="1"/>
  </si>
  <si>
    <t>期間</t>
    <rPh sb="0" eb="2">
      <t>キカン</t>
    </rPh>
    <phoneticPr fontId="1"/>
  </si>
  <si>
    <t>←生年月日や入社日</t>
    <rPh sb="1" eb="5">
      <t>セイネンガッピ</t>
    </rPh>
    <rPh sb="6" eb="9">
      <t>ニュウシャビ</t>
    </rPh>
    <phoneticPr fontId="1"/>
  </si>
  <si>
    <t>←年齢や在籍期間となります。</t>
    <rPh sb="1" eb="3">
      <t>ネンレイ</t>
    </rPh>
    <rPh sb="4" eb="8">
      <t>ザイセキキカン</t>
    </rPh>
    <phoneticPr fontId="1"/>
  </si>
  <si>
    <t>計算ツール</t>
    <rPh sb="0" eb="2">
      <t>ケイサン</t>
    </rPh>
    <phoneticPr fontId="1"/>
  </si>
  <si>
    <t>←いつ時点での計算をしたいか</t>
    <rPh sb="3" eb="5">
      <t>ジテン</t>
    </rPh>
    <rPh sb="7" eb="9">
      <t>ケイサン</t>
    </rPh>
    <phoneticPr fontId="1"/>
  </si>
  <si>
    <t>※日付は、「2026/1/1」や「2026年1月1日」、「令和8年1月1日」の形式で入力してください。</t>
    <rPh sb="1" eb="3">
      <t>ヒヅケ</t>
    </rPh>
    <rPh sb="21" eb="22">
      <t>ネン</t>
    </rPh>
    <rPh sb="23" eb="24">
      <t>ガツ</t>
    </rPh>
    <rPh sb="25" eb="26">
      <t>ニチ</t>
    </rPh>
    <rPh sb="39" eb="41">
      <t>ケイシキ</t>
    </rPh>
    <rPh sb="42" eb="44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</si>
</sst>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]ggge&quot;年&quot;;@" x16r2:formatCode16="[$-ja-JP-x-gannen]ggge&quot;年&quot;;@"/>
    <numFmt numFmtId="177" formatCode="yyyy&quot;年&quot;"/>
    <numFmt numFmtId="178" formatCode="[$]yyyy&quot;年(&quot;ggge&quot;年)　&quot;m&quot;月&quot;d&quot;日&quot;\(aaa\);@" x16r2:formatCode16="[$-ja-JP-x-gannen]yyyy&quot;年(&quot;ggge&quot;年)　&quot;m&quot;月&quot;d&quot;日&quot;\(aaa\);@"/>
    <numFmt numFmtId="179" formatCode="0&quot;歳&quot;"/>
    <numFmt numFmtId="180" formatCode="0&quot;年&quot;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" borderId="1" xfId="0" applyFill="1" applyBorder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0" xfId="0" applyFill="1" applyAlignment="1">
      <alignment vertical="top"/>
    </xf>
    <xf numFmtId="0" fontId="0" fillId="3" borderId="8" xfId="0" applyFill="1" applyBorder="1">
      <alignment vertical="center"/>
    </xf>
    <xf numFmtId="0" fontId="5" fillId="4" borderId="3" xfId="0" applyFont="1" applyFill="1" applyBorder="1" applyAlignment="1"/>
    <xf numFmtId="0" fontId="0" fillId="4" borderId="3" xfId="0" applyFill="1" applyBorder="1" applyAlignment="1"/>
    <xf numFmtId="0" fontId="0" fillId="4" borderId="4" xfId="0" applyFill="1" applyBorder="1">
      <alignment vertical="center"/>
    </xf>
    <xf numFmtId="0" fontId="5" fillId="4" borderId="0" xfId="0" applyFont="1" applyFill="1" applyAlignment="1"/>
    <xf numFmtId="0" fontId="0" fillId="4" borderId="0" xfId="0" applyFill="1" applyAlignment="1"/>
    <xf numFmtId="0" fontId="0" fillId="4" borderId="6" xfId="0" applyFill="1" applyBorder="1">
      <alignment vertical="center"/>
    </xf>
    <xf numFmtId="0" fontId="0" fillId="4" borderId="0" xfId="0" applyFill="1">
      <alignment vertical="center"/>
    </xf>
    <xf numFmtId="0" fontId="0" fillId="4" borderId="8" xfId="0" applyFill="1" applyBorder="1" applyAlignment="1"/>
    <xf numFmtId="0" fontId="5" fillId="4" borderId="8" xfId="0" applyFont="1" applyFill="1" applyBorder="1" applyAlignment="1"/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0" borderId="0" xfId="0" applyAlignment="1">
      <alignment horizontal="left" vertical="center"/>
    </xf>
    <xf numFmtId="0" fontId="6" fillId="3" borderId="9" xfId="0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right" vertical="center"/>
    </xf>
    <xf numFmtId="0" fontId="3" fillId="0" borderId="10" xfId="0" applyFont="1" applyBorder="1" applyProtection="1">
      <alignment vertical="center"/>
      <protection locked="0"/>
    </xf>
    <xf numFmtId="0" fontId="0" fillId="4" borderId="5" xfId="0" applyFill="1" applyBorder="1">
      <alignment vertical="center"/>
    </xf>
    <xf numFmtId="0" fontId="0" fillId="4" borderId="7" xfId="0" applyFill="1" applyBorder="1">
      <alignment vertical="center"/>
    </xf>
    <xf numFmtId="0" fontId="0" fillId="4" borderId="2" xfId="0" applyFill="1" applyBorder="1">
      <alignment vertical="center"/>
    </xf>
    <xf numFmtId="0" fontId="7" fillId="0" borderId="0" xfId="0" applyFont="1">
      <alignment vertical="center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178" fontId="0" fillId="5" borderId="4" xfId="0" applyNumberFormat="1" applyFill="1" applyBorder="1" applyProtection="1">
      <alignment vertical="center"/>
      <protection locked="0"/>
    </xf>
    <xf numFmtId="14" fontId="0" fillId="5" borderId="9" xfId="0" applyNumberFormat="1" applyFill="1" applyBorder="1" applyProtection="1">
      <alignment vertical="center"/>
      <protection locked="0"/>
    </xf>
    <xf numFmtId="0" fontId="0" fillId="4" borderId="3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5" borderId="1" xfId="0" applyFill="1" applyBorder="1" applyAlignment="1" applyProtection="1">
      <alignment horizontal="left" vertical="center"/>
      <protection locked="0"/>
    </xf>
    <xf numFmtId="14" fontId="0" fillId="5" borderId="1" xfId="0" applyNumberFormat="1" applyFill="1" applyBorder="1" applyAlignment="1" applyProtection="1">
      <alignment horizontal="left" vertical="center"/>
      <protection locked="0"/>
    </xf>
    <xf numFmtId="178" fontId="0" fillId="0" borderId="1" xfId="0" applyNumberFormat="1" applyBorder="1" applyAlignment="1">
      <alignment horizontal="left" vertical="center"/>
    </xf>
    <xf numFmtId="179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80" fontId="0" fillId="0" borderId="1" xfId="0" applyNumberForma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409575</xdr:colOff>
      <xdr:row>5</xdr:row>
      <xdr:rowOff>76200</xdr:rowOff>
    </xdr:from>
    <xdr:to>
      <xdr:col>20</xdr:col>
      <xdr:colOff>171450</xdr:colOff>
      <xdr:row>8</xdr:row>
      <xdr:rowOff>95250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ED36B471-261A-4B0D-7841-B95806F4D3FE}"/>
            </a:ext>
          </a:extLst>
        </xdr:cNvPr>
        <xdr:cNvSpPr/>
      </xdr:nvSpPr>
      <xdr:spPr>
        <a:xfrm>
          <a:off x="7134225" y="1162050"/>
          <a:ext cx="2505075" cy="733425"/>
        </a:xfrm>
        <a:prstGeom prst="wedgeRoundRectCallout">
          <a:avLst>
            <a:gd name="adj1" fmla="val -60099"/>
            <a:gd name="adj2" fmla="val 33574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/>
            <a:t>年を変更して、自由に確認可能。</a:t>
          </a:r>
          <a:endParaRPr kumimoji="1" lang="en-US" altLang="ja-JP" sz="1200"/>
        </a:p>
        <a:p>
          <a:pPr algn="l"/>
          <a:r>
            <a:rPr kumimoji="1" lang="ja-JP" altLang="en-US" sz="1200"/>
            <a:t>そのまま印刷可能です。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9D564-BF2E-4EB6-B523-7A7771BD95D1}">
  <dimension ref="A1:R44"/>
  <sheetViews>
    <sheetView view="pageBreakPreview" topLeftCell="A16" zoomScaleNormal="100" zoomScaleSheetLayoutView="100" workbookViewId="0">
      <selection activeCell="C1" sqref="C1"/>
    </sheetView>
  </sheetViews>
  <sheetFormatPr defaultRowHeight="18" x14ac:dyDescent="0.45"/>
  <cols>
    <col min="1" max="1" width="2" customWidth="1"/>
    <col min="3" max="3" width="9.19921875" bestFit="1" customWidth="1"/>
    <col min="4" max="4" width="5" customWidth="1"/>
    <col min="5" max="5" width="3" customWidth="1"/>
    <col min="6" max="6" width="2" customWidth="1"/>
    <col min="7" max="8" width="9.19921875" bestFit="1" customWidth="1"/>
    <col min="9" max="9" width="5" customWidth="1"/>
    <col min="10" max="10" width="3" customWidth="1"/>
    <col min="11" max="11" width="2" customWidth="1"/>
    <col min="12" max="13" width="9.19921875" bestFit="1" customWidth="1"/>
    <col min="14" max="14" width="5" customWidth="1"/>
    <col min="15" max="16" width="3" customWidth="1"/>
  </cols>
  <sheetData>
    <row r="1" spans="2:15" ht="23.4" customHeight="1" thickBot="1" x14ac:dyDescent="0.5">
      <c r="C1" s="33">
        <v>2026</v>
      </c>
      <c r="D1" s="1" t="s">
        <v>0</v>
      </c>
      <c r="F1" t="s">
        <v>18</v>
      </c>
      <c r="O1" s="7" t="s">
        <v>19</v>
      </c>
    </row>
    <row r="2" spans="2:15" ht="6" customHeight="1" x14ac:dyDescent="0.45">
      <c r="C2" s="2"/>
      <c r="D2" s="1"/>
      <c r="O2" s="7"/>
    </row>
    <row r="3" spans="2:15" x14ac:dyDescent="0.45">
      <c r="B3" s="6" t="s">
        <v>2</v>
      </c>
      <c r="C3" s="6" t="s">
        <v>1</v>
      </c>
      <c r="D3" s="6" t="s">
        <v>3</v>
      </c>
      <c r="G3" s="6" t="s">
        <v>2</v>
      </c>
      <c r="H3" s="6" t="s">
        <v>1</v>
      </c>
      <c r="I3" s="6" t="s">
        <v>3</v>
      </c>
      <c r="L3" s="6" t="s">
        <v>2</v>
      </c>
      <c r="M3" s="6" t="s">
        <v>1</v>
      </c>
      <c r="N3" s="6" t="s">
        <v>3</v>
      </c>
    </row>
    <row r="4" spans="2:15" x14ac:dyDescent="0.45">
      <c r="B4" s="4">
        <f t="shared" ref="B4:C36" si="0">DATE(YEAR(B5)-1,1,1)</f>
        <v>9863</v>
      </c>
      <c r="C4" s="5">
        <f t="shared" si="0"/>
        <v>9863</v>
      </c>
      <c r="D4" s="3">
        <v>99</v>
      </c>
      <c r="G4" s="4">
        <f t="shared" ref="G4:H36" si="1">DATE(YEAR(G5)-1,1,1)</f>
        <v>22647</v>
      </c>
      <c r="H4" s="5">
        <f t="shared" si="1"/>
        <v>22647</v>
      </c>
      <c r="I4" s="3">
        <v>64</v>
      </c>
      <c r="L4" s="4">
        <f t="shared" ref="L4:L31" si="2">DATE(YEAR(L5)-1,1,1)</f>
        <v>35431</v>
      </c>
      <c r="M4" s="5">
        <f t="shared" ref="M4:M32" si="3">DATE(YEAR(L5)-1,1,1)</f>
        <v>35431</v>
      </c>
      <c r="N4" s="3">
        <v>29</v>
      </c>
    </row>
    <row r="5" spans="2:15" x14ac:dyDescent="0.45">
      <c r="B5" s="4">
        <f t="shared" si="0"/>
        <v>10228</v>
      </c>
      <c r="C5" s="5">
        <f t="shared" si="0"/>
        <v>10228</v>
      </c>
      <c r="D5" s="3">
        <v>98</v>
      </c>
      <c r="G5" s="4">
        <f t="shared" si="1"/>
        <v>23012</v>
      </c>
      <c r="H5" s="5">
        <f t="shared" si="1"/>
        <v>23012</v>
      </c>
      <c r="I5" s="3">
        <v>63</v>
      </c>
      <c r="L5" s="4">
        <f t="shared" si="2"/>
        <v>35796</v>
      </c>
      <c r="M5" s="5">
        <f t="shared" si="3"/>
        <v>35796</v>
      </c>
      <c r="N5" s="3">
        <v>28</v>
      </c>
    </row>
    <row r="6" spans="2:15" x14ac:dyDescent="0.45">
      <c r="B6" s="4">
        <f t="shared" si="0"/>
        <v>10594</v>
      </c>
      <c r="C6" s="5">
        <f t="shared" si="0"/>
        <v>10594</v>
      </c>
      <c r="D6" s="3">
        <v>97</v>
      </c>
      <c r="G6" s="4">
        <f t="shared" si="1"/>
        <v>23377</v>
      </c>
      <c r="H6" s="5">
        <f t="shared" si="1"/>
        <v>23377</v>
      </c>
      <c r="I6" s="3">
        <v>62</v>
      </c>
      <c r="L6" s="4">
        <f t="shared" si="2"/>
        <v>36161</v>
      </c>
      <c r="M6" s="5">
        <f t="shared" si="3"/>
        <v>36161</v>
      </c>
      <c r="N6" s="3">
        <v>27</v>
      </c>
    </row>
    <row r="7" spans="2:15" x14ac:dyDescent="0.45">
      <c r="B7" s="4">
        <f t="shared" si="0"/>
        <v>10959</v>
      </c>
      <c r="C7" s="5">
        <f t="shared" si="0"/>
        <v>10959</v>
      </c>
      <c r="D7" s="3">
        <v>96</v>
      </c>
      <c r="G7" s="4">
        <f t="shared" si="1"/>
        <v>23743</v>
      </c>
      <c r="H7" s="5">
        <f t="shared" si="1"/>
        <v>23743</v>
      </c>
      <c r="I7" s="3">
        <v>61</v>
      </c>
      <c r="L7" s="4">
        <f t="shared" si="2"/>
        <v>36526</v>
      </c>
      <c r="M7" s="5">
        <f t="shared" si="3"/>
        <v>36526</v>
      </c>
      <c r="N7" s="3">
        <v>26</v>
      </c>
    </row>
    <row r="8" spans="2:15" x14ac:dyDescent="0.45">
      <c r="B8" s="4">
        <f t="shared" si="0"/>
        <v>11324</v>
      </c>
      <c r="C8" s="5">
        <f t="shared" si="0"/>
        <v>11324</v>
      </c>
      <c r="D8" s="3">
        <v>95</v>
      </c>
      <c r="G8" s="4">
        <f t="shared" si="1"/>
        <v>24108</v>
      </c>
      <c r="H8" s="5">
        <f t="shared" si="1"/>
        <v>24108</v>
      </c>
      <c r="I8" s="3">
        <v>60</v>
      </c>
      <c r="L8" s="4">
        <f t="shared" si="2"/>
        <v>36892</v>
      </c>
      <c r="M8" s="5">
        <f t="shared" si="3"/>
        <v>36892</v>
      </c>
      <c r="N8" s="3">
        <v>25</v>
      </c>
    </row>
    <row r="9" spans="2:15" x14ac:dyDescent="0.45">
      <c r="B9" s="4">
        <f t="shared" si="0"/>
        <v>11689</v>
      </c>
      <c r="C9" s="5">
        <f t="shared" si="0"/>
        <v>11689</v>
      </c>
      <c r="D9" s="3">
        <v>94</v>
      </c>
      <c r="G9" s="4">
        <f t="shared" si="1"/>
        <v>24473</v>
      </c>
      <c r="H9" s="5">
        <f t="shared" si="1"/>
        <v>24473</v>
      </c>
      <c r="I9" s="3">
        <v>59</v>
      </c>
      <c r="L9" s="4">
        <f t="shared" si="2"/>
        <v>37257</v>
      </c>
      <c r="M9" s="5">
        <f t="shared" si="3"/>
        <v>37257</v>
      </c>
      <c r="N9" s="3">
        <v>24</v>
      </c>
    </row>
    <row r="10" spans="2:15" x14ac:dyDescent="0.45">
      <c r="B10" s="4">
        <f t="shared" si="0"/>
        <v>12055</v>
      </c>
      <c r="C10" s="5">
        <f t="shared" si="0"/>
        <v>12055</v>
      </c>
      <c r="D10" s="3">
        <v>93</v>
      </c>
      <c r="G10" s="4">
        <f t="shared" si="1"/>
        <v>24838</v>
      </c>
      <c r="H10" s="5">
        <f t="shared" si="1"/>
        <v>24838</v>
      </c>
      <c r="I10" s="3">
        <v>58</v>
      </c>
      <c r="L10" s="4">
        <f t="shared" si="2"/>
        <v>37622</v>
      </c>
      <c r="M10" s="5">
        <f t="shared" si="3"/>
        <v>37622</v>
      </c>
      <c r="N10" s="3">
        <v>23</v>
      </c>
    </row>
    <row r="11" spans="2:15" x14ac:dyDescent="0.45">
      <c r="B11" s="4">
        <f t="shared" si="0"/>
        <v>12420</v>
      </c>
      <c r="C11" s="5">
        <f t="shared" si="0"/>
        <v>12420</v>
      </c>
      <c r="D11" s="3">
        <v>92</v>
      </c>
      <c r="G11" s="4">
        <f t="shared" si="1"/>
        <v>25204</v>
      </c>
      <c r="H11" s="5">
        <f t="shared" si="1"/>
        <v>25204</v>
      </c>
      <c r="I11" s="3">
        <v>57</v>
      </c>
      <c r="L11" s="4">
        <f t="shared" si="2"/>
        <v>37987</v>
      </c>
      <c r="M11" s="5">
        <f t="shared" si="3"/>
        <v>37987</v>
      </c>
      <c r="N11" s="3">
        <v>22</v>
      </c>
    </row>
    <row r="12" spans="2:15" x14ac:dyDescent="0.45">
      <c r="B12" s="4">
        <f t="shared" si="0"/>
        <v>12785</v>
      </c>
      <c r="C12" s="5">
        <f t="shared" si="0"/>
        <v>12785</v>
      </c>
      <c r="D12" s="3">
        <v>91</v>
      </c>
      <c r="G12" s="4">
        <f t="shared" si="1"/>
        <v>25569</v>
      </c>
      <c r="H12" s="5">
        <f t="shared" si="1"/>
        <v>25569</v>
      </c>
      <c r="I12" s="3">
        <v>56</v>
      </c>
      <c r="L12" s="4">
        <f t="shared" si="2"/>
        <v>38353</v>
      </c>
      <c r="M12" s="5">
        <f t="shared" si="3"/>
        <v>38353</v>
      </c>
      <c r="N12" s="3">
        <v>21</v>
      </c>
    </row>
    <row r="13" spans="2:15" x14ac:dyDescent="0.45">
      <c r="B13" s="4">
        <f t="shared" si="0"/>
        <v>13150</v>
      </c>
      <c r="C13" s="5">
        <f t="shared" si="0"/>
        <v>13150</v>
      </c>
      <c r="D13" s="3">
        <v>90</v>
      </c>
      <c r="G13" s="4">
        <f t="shared" si="1"/>
        <v>25934</v>
      </c>
      <c r="H13" s="5">
        <f t="shared" si="1"/>
        <v>25934</v>
      </c>
      <c r="I13" s="3">
        <v>55</v>
      </c>
      <c r="L13" s="4">
        <f t="shared" si="2"/>
        <v>38718</v>
      </c>
      <c r="M13" s="5">
        <f t="shared" si="3"/>
        <v>38718</v>
      </c>
      <c r="N13" s="3">
        <v>20</v>
      </c>
    </row>
    <row r="14" spans="2:15" x14ac:dyDescent="0.45">
      <c r="B14" s="4">
        <f t="shared" si="0"/>
        <v>13516</v>
      </c>
      <c r="C14" s="5">
        <f t="shared" si="0"/>
        <v>13516</v>
      </c>
      <c r="D14" s="3">
        <v>89</v>
      </c>
      <c r="G14" s="4">
        <f t="shared" si="1"/>
        <v>26299</v>
      </c>
      <c r="H14" s="5">
        <f t="shared" si="1"/>
        <v>26299</v>
      </c>
      <c r="I14" s="3">
        <v>54</v>
      </c>
      <c r="L14" s="4">
        <f t="shared" si="2"/>
        <v>39083</v>
      </c>
      <c r="M14" s="5">
        <f t="shared" si="3"/>
        <v>39083</v>
      </c>
      <c r="N14" s="3">
        <v>19</v>
      </c>
    </row>
    <row r="15" spans="2:15" x14ac:dyDescent="0.45">
      <c r="B15" s="4">
        <f t="shared" si="0"/>
        <v>13881</v>
      </c>
      <c r="C15" s="5">
        <f t="shared" si="0"/>
        <v>13881</v>
      </c>
      <c r="D15" s="3">
        <v>88</v>
      </c>
      <c r="G15" s="4">
        <f t="shared" si="1"/>
        <v>26665</v>
      </c>
      <c r="H15" s="5">
        <f t="shared" si="1"/>
        <v>26665</v>
      </c>
      <c r="I15" s="3">
        <v>53</v>
      </c>
      <c r="L15" s="4">
        <f t="shared" si="2"/>
        <v>39448</v>
      </c>
      <c r="M15" s="5">
        <f t="shared" si="3"/>
        <v>39448</v>
      </c>
      <c r="N15" s="3">
        <v>18</v>
      </c>
    </row>
    <row r="16" spans="2:15" x14ac:dyDescent="0.45">
      <c r="B16" s="4">
        <f t="shared" si="0"/>
        <v>14246</v>
      </c>
      <c r="C16" s="5">
        <f t="shared" si="0"/>
        <v>14246</v>
      </c>
      <c r="D16" s="3">
        <v>87</v>
      </c>
      <c r="G16" s="4">
        <f t="shared" si="1"/>
        <v>27030</v>
      </c>
      <c r="H16" s="5">
        <f t="shared" si="1"/>
        <v>27030</v>
      </c>
      <c r="I16" s="3">
        <v>52</v>
      </c>
      <c r="L16" s="4">
        <f t="shared" si="2"/>
        <v>39814</v>
      </c>
      <c r="M16" s="5">
        <f t="shared" si="3"/>
        <v>39814</v>
      </c>
      <c r="N16" s="3">
        <v>17</v>
      </c>
    </row>
    <row r="17" spans="2:14" x14ac:dyDescent="0.45">
      <c r="B17" s="4">
        <f t="shared" si="0"/>
        <v>14611</v>
      </c>
      <c r="C17" s="5">
        <f t="shared" si="0"/>
        <v>14611</v>
      </c>
      <c r="D17" s="3">
        <v>86</v>
      </c>
      <c r="G17" s="4">
        <f t="shared" si="1"/>
        <v>27395</v>
      </c>
      <c r="H17" s="5">
        <f t="shared" si="1"/>
        <v>27395</v>
      </c>
      <c r="I17" s="3">
        <v>51</v>
      </c>
      <c r="L17" s="4">
        <f t="shared" si="2"/>
        <v>40179</v>
      </c>
      <c r="M17" s="5">
        <f t="shared" si="3"/>
        <v>40179</v>
      </c>
      <c r="N17" s="3">
        <v>16</v>
      </c>
    </row>
    <row r="18" spans="2:14" x14ac:dyDescent="0.45">
      <c r="B18" s="4">
        <f t="shared" si="0"/>
        <v>14977</v>
      </c>
      <c r="C18" s="5">
        <f t="shared" si="0"/>
        <v>14977</v>
      </c>
      <c r="D18" s="3">
        <v>85</v>
      </c>
      <c r="G18" s="4">
        <f t="shared" si="1"/>
        <v>27760</v>
      </c>
      <c r="H18" s="5">
        <f t="shared" si="1"/>
        <v>27760</v>
      </c>
      <c r="I18" s="3">
        <v>50</v>
      </c>
      <c r="L18" s="4">
        <f t="shared" si="2"/>
        <v>40544</v>
      </c>
      <c r="M18" s="5">
        <f t="shared" si="3"/>
        <v>40544</v>
      </c>
      <c r="N18" s="3">
        <v>15</v>
      </c>
    </row>
    <row r="19" spans="2:14" x14ac:dyDescent="0.45">
      <c r="B19" s="4">
        <f t="shared" si="0"/>
        <v>15342</v>
      </c>
      <c r="C19" s="5">
        <f t="shared" si="0"/>
        <v>15342</v>
      </c>
      <c r="D19" s="3">
        <v>84</v>
      </c>
      <c r="G19" s="4">
        <f t="shared" si="1"/>
        <v>28126</v>
      </c>
      <c r="H19" s="5">
        <f t="shared" si="1"/>
        <v>28126</v>
      </c>
      <c r="I19" s="3">
        <v>49</v>
      </c>
      <c r="L19" s="4">
        <f t="shared" si="2"/>
        <v>40909</v>
      </c>
      <c r="M19" s="5">
        <f t="shared" si="3"/>
        <v>40909</v>
      </c>
      <c r="N19" s="3">
        <v>14</v>
      </c>
    </row>
    <row r="20" spans="2:14" x14ac:dyDescent="0.45">
      <c r="B20" s="4">
        <f t="shared" si="0"/>
        <v>15707</v>
      </c>
      <c r="C20" s="5">
        <f t="shared" si="0"/>
        <v>15707</v>
      </c>
      <c r="D20" s="3">
        <v>83</v>
      </c>
      <c r="G20" s="4">
        <f t="shared" si="1"/>
        <v>28491</v>
      </c>
      <c r="H20" s="5">
        <f t="shared" si="1"/>
        <v>28491</v>
      </c>
      <c r="I20" s="3">
        <v>48</v>
      </c>
      <c r="L20" s="4">
        <f t="shared" si="2"/>
        <v>41275</v>
      </c>
      <c r="M20" s="5">
        <f t="shared" si="3"/>
        <v>41275</v>
      </c>
      <c r="N20" s="3">
        <v>13</v>
      </c>
    </row>
    <row r="21" spans="2:14" x14ac:dyDescent="0.45">
      <c r="B21" s="4">
        <f t="shared" si="0"/>
        <v>16072</v>
      </c>
      <c r="C21" s="5">
        <f t="shared" si="0"/>
        <v>16072</v>
      </c>
      <c r="D21" s="3">
        <v>82</v>
      </c>
      <c r="G21" s="4">
        <f t="shared" si="1"/>
        <v>28856</v>
      </c>
      <c r="H21" s="5">
        <f t="shared" si="1"/>
        <v>28856</v>
      </c>
      <c r="I21" s="3">
        <v>47</v>
      </c>
      <c r="L21" s="4">
        <f t="shared" si="2"/>
        <v>41640</v>
      </c>
      <c r="M21" s="5">
        <f t="shared" si="3"/>
        <v>41640</v>
      </c>
      <c r="N21" s="3">
        <v>12</v>
      </c>
    </row>
    <row r="22" spans="2:14" x14ac:dyDescent="0.45">
      <c r="B22" s="4">
        <f t="shared" si="0"/>
        <v>16438</v>
      </c>
      <c r="C22" s="5">
        <f t="shared" si="0"/>
        <v>16438</v>
      </c>
      <c r="D22" s="3">
        <v>81</v>
      </c>
      <c r="G22" s="4">
        <f t="shared" si="1"/>
        <v>29221</v>
      </c>
      <c r="H22" s="5">
        <f t="shared" si="1"/>
        <v>29221</v>
      </c>
      <c r="I22" s="3">
        <v>46</v>
      </c>
      <c r="L22" s="4">
        <f t="shared" si="2"/>
        <v>42005</v>
      </c>
      <c r="M22" s="5">
        <f t="shared" si="3"/>
        <v>42005</v>
      </c>
      <c r="N22" s="3">
        <v>11</v>
      </c>
    </row>
    <row r="23" spans="2:14" x14ac:dyDescent="0.45">
      <c r="B23" s="4">
        <f t="shared" si="0"/>
        <v>16803</v>
      </c>
      <c r="C23" s="5">
        <f t="shared" si="0"/>
        <v>16803</v>
      </c>
      <c r="D23" s="3">
        <v>80</v>
      </c>
      <c r="G23" s="4">
        <f t="shared" si="1"/>
        <v>29587</v>
      </c>
      <c r="H23" s="5">
        <f t="shared" si="1"/>
        <v>29587</v>
      </c>
      <c r="I23" s="3">
        <v>45</v>
      </c>
      <c r="L23" s="4">
        <f t="shared" si="2"/>
        <v>42370</v>
      </c>
      <c r="M23" s="5">
        <f t="shared" si="3"/>
        <v>42370</v>
      </c>
      <c r="N23" s="3">
        <v>10</v>
      </c>
    </row>
    <row r="24" spans="2:14" x14ac:dyDescent="0.45">
      <c r="B24" s="4">
        <f t="shared" si="0"/>
        <v>17168</v>
      </c>
      <c r="C24" s="5">
        <f t="shared" si="0"/>
        <v>17168</v>
      </c>
      <c r="D24" s="3">
        <v>79</v>
      </c>
      <c r="G24" s="4">
        <f t="shared" si="1"/>
        <v>29952</v>
      </c>
      <c r="H24" s="5">
        <f t="shared" si="1"/>
        <v>29952</v>
      </c>
      <c r="I24" s="3">
        <v>44</v>
      </c>
      <c r="L24" s="4">
        <f t="shared" si="2"/>
        <v>42736</v>
      </c>
      <c r="M24" s="5">
        <f t="shared" si="3"/>
        <v>42736</v>
      </c>
      <c r="N24" s="3">
        <v>9</v>
      </c>
    </row>
    <row r="25" spans="2:14" x14ac:dyDescent="0.45">
      <c r="B25" s="4">
        <f t="shared" si="0"/>
        <v>17533</v>
      </c>
      <c r="C25" s="5">
        <f t="shared" si="0"/>
        <v>17533</v>
      </c>
      <c r="D25" s="3">
        <v>78</v>
      </c>
      <c r="G25" s="4">
        <f t="shared" si="1"/>
        <v>30317</v>
      </c>
      <c r="H25" s="5">
        <f t="shared" si="1"/>
        <v>30317</v>
      </c>
      <c r="I25" s="3">
        <v>43</v>
      </c>
      <c r="L25" s="4">
        <f t="shared" si="2"/>
        <v>43101</v>
      </c>
      <c r="M25" s="5">
        <f t="shared" si="3"/>
        <v>43101</v>
      </c>
      <c r="N25" s="3">
        <v>8</v>
      </c>
    </row>
    <row r="26" spans="2:14" x14ac:dyDescent="0.45">
      <c r="B26" s="4">
        <f t="shared" si="0"/>
        <v>17899</v>
      </c>
      <c r="C26" s="5">
        <f t="shared" si="0"/>
        <v>17899</v>
      </c>
      <c r="D26" s="3">
        <v>77</v>
      </c>
      <c r="G26" s="4">
        <f t="shared" si="1"/>
        <v>30682</v>
      </c>
      <c r="H26" s="5">
        <f t="shared" si="1"/>
        <v>30682</v>
      </c>
      <c r="I26" s="3">
        <v>42</v>
      </c>
      <c r="L26" s="4">
        <f t="shared" si="2"/>
        <v>43466</v>
      </c>
      <c r="M26" s="5">
        <f t="shared" si="3"/>
        <v>43466</v>
      </c>
      <c r="N26" s="3">
        <v>7</v>
      </c>
    </row>
    <row r="27" spans="2:14" x14ac:dyDescent="0.45">
      <c r="B27" s="4">
        <f t="shared" si="0"/>
        <v>18264</v>
      </c>
      <c r="C27" s="5">
        <f t="shared" si="0"/>
        <v>18264</v>
      </c>
      <c r="D27" s="3">
        <v>76</v>
      </c>
      <c r="G27" s="4">
        <f t="shared" si="1"/>
        <v>31048</v>
      </c>
      <c r="H27" s="5">
        <f t="shared" si="1"/>
        <v>31048</v>
      </c>
      <c r="I27" s="3">
        <v>41</v>
      </c>
      <c r="L27" s="4">
        <f t="shared" si="2"/>
        <v>43831</v>
      </c>
      <c r="M27" s="5">
        <f t="shared" si="3"/>
        <v>43831</v>
      </c>
      <c r="N27" s="3">
        <v>6</v>
      </c>
    </row>
    <row r="28" spans="2:14" x14ac:dyDescent="0.45">
      <c r="B28" s="4">
        <f t="shared" si="0"/>
        <v>18629</v>
      </c>
      <c r="C28" s="5">
        <f t="shared" si="0"/>
        <v>18629</v>
      </c>
      <c r="D28" s="8">
        <v>75</v>
      </c>
      <c r="E28" t="s">
        <v>7</v>
      </c>
      <c r="G28" s="4">
        <f t="shared" si="1"/>
        <v>31413</v>
      </c>
      <c r="H28" s="5">
        <f t="shared" si="1"/>
        <v>31413</v>
      </c>
      <c r="I28" s="8">
        <v>40</v>
      </c>
      <c r="J28" t="s">
        <v>4</v>
      </c>
      <c r="L28" s="4">
        <f t="shared" si="2"/>
        <v>44197</v>
      </c>
      <c r="M28" s="5">
        <f t="shared" si="3"/>
        <v>44197</v>
      </c>
      <c r="N28" s="3">
        <v>5</v>
      </c>
    </row>
    <row r="29" spans="2:14" x14ac:dyDescent="0.45">
      <c r="B29" s="4">
        <f t="shared" si="0"/>
        <v>18994</v>
      </c>
      <c r="C29" s="5">
        <f t="shared" si="0"/>
        <v>18994</v>
      </c>
      <c r="D29" s="3">
        <v>74</v>
      </c>
      <c r="G29" s="4">
        <f t="shared" si="1"/>
        <v>31778</v>
      </c>
      <c r="H29" s="5">
        <f t="shared" si="1"/>
        <v>31778</v>
      </c>
      <c r="I29" s="3">
        <v>39</v>
      </c>
      <c r="L29" s="4">
        <f t="shared" si="2"/>
        <v>44562</v>
      </c>
      <c r="M29" s="5">
        <f t="shared" si="3"/>
        <v>44562</v>
      </c>
      <c r="N29" s="3">
        <v>4</v>
      </c>
    </row>
    <row r="30" spans="2:14" x14ac:dyDescent="0.45">
      <c r="B30" s="4">
        <f t="shared" si="0"/>
        <v>19360</v>
      </c>
      <c r="C30" s="5">
        <f t="shared" si="0"/>
        <v>19360</v>
      </c>
      <c r="D30" s="3">
        <v>73</v>
      </c>
      <c r="G30" s="4">
        <f t="shared" si="1"/>
        <v>32143</v>
      </c>
      <c r="H30" s="5">
        <f t="shared" si="1"/>
        <v>32143</v>
      </c>
      <c r="I30" s="3">
        <v>38</v>
      </c>
      <c r="L30" s="4">
        <f t="shared" si="2"/>
        <v>44927</v>
      </c>
      <c r="M30" s="5">
        <f t="shared" si="3"/>
        <v>44927</v>
      </c>
      <c r="N30" s="3">
        <v>3</v>
      </c>
    </row>
    <row r="31" spans="2:14" x14ac:dyDescent="0.45">
      <c r="B31" s="4">
        <f t="shared" si="0"/>
        <v>19725</v>
      </c>
      <c r="C31" s="5">
        <f t="shared" si="0"/>
        <v>19725</v>
      </c>
      <c r="D31" s="3">
        <v>72</v>
      </c>
      <c r="G31" s="4">
        <f>DATE(YEAR(G32)-1,1,1)</f>
        <v>32509</v>
      </c>
      <c r="H31" s="5">
        <f t="shared" si="1"/>
        <v>32509</v>
      </c>
      <c r="I31" s="3">
        <v>37</v>
      </c>
      <c r="L31" s="4">
        <f t="shared" si="2"/>
        <v>45292</v>
      </c>
      <c r="M31" s="5">
        <f t="shared" si="3"/>
        <v>45292</v>
      </c>
      <c r="N31" s="3">
        <v>2</v>
      </c>
    </row>
    <row r="32" spans="2:14" x14ac:dyDescent="0.45">
      <c r="B32" s="4">
        <f t="shared" si="0"/>
        <v>20090</v>
      </c>
      <c r="C32" s="5">
        <f t="shared" si="0"/>
        <v>20090</v>
      </c>
      <c r="D32" s="3">
        <v>71</v>
      </c>
      <c r="G32" s="4">
        <f>DATE(YEAR(G33)-1,1,1)</f>
        <v>32874</v>
      </c>
      <c r="H32" s="5">
        <f t="shared" si="1"/>
        <v>32874</v>
      </c>
      <c r="I32" s="3">
        <v>36</v>
      </c>
      <c r="L32" s="4">
        <f>DATE(YEAR(L33)-1,1,1)</f>
        <v>45658</v>
      </c>
      <c r="M32" s="5">
        <f t="shared" si="3"/>
        <v>45658</v>
      </c>
      <c r="N32" s="3">
        <v>1</v>
      </c>
    </row>
    <row r="33" spans="1:18" x14ac:dyDescent="0.45">
      <c r="B33" s="4">
        <f t="shared" si="0"/>
        <v>20455</v>
      </c>
      <c r="C33" s="5">
        <f t="shared" si="0"/>
        <v>20455</v>
      </c>
      <c r="D33" s="8">
        <v>70</v>
      </c>
      <c r="E33" t="s">
        <v>6</v>
      </c>
      <c r="G33" s="4">
        <f t="shared" si="1"/>
        <v>33239</v>
      </c>
      <c r="H33" s="5">
        <f t="shared" si="1"/>
        <v>33239</v>
      </c>
      <c r="I33" s="3">
        <v>35</v>
      </c>
      <c r="L33" s="4">
        <f>DATE(C1,1,1)</f>
        <v>46023</v>
      </c>
      <c r="M33" s="5">
        <f>DATE(C1,1,1)</f>
        <v>46023</v>
      </c>
      <c r="N33" s="3">
        <v>0</v>
      </c>
    </row>
    <row r="34" spans="1:18" x14ac:dyDescent="0.45">
      <c r="B34" s="4">
        <f t="shared" si="0"/>
        <v>20821</v>
      </c>
      <c r="C34" s="5">
        <f t="shared" si="0"/>
        <v>20821</v>
      </c>
      <c r="D34" s="3">
        <v>69</v>
      </c>
      <c r="G34" s="4">
        <f t="shared" si="1"/>
        <v>33604</v>
      </c>
      <c r="H34" s="5">
        <f t="shared" si="1"/>
        <v>33604</v>
      </c>
      <c r="I34" s="3">
        <v>34</v>
      </c>
    </row>
    <row r="35" spans="1:18" x14ac:dyDescent="0.45">
      <c r="B35" s="4">
        <f t="shared" si="0"/>
        <v>21186</v>
      </c>
      <c r="C35" s="5">
        <f t="shared" si="0"/>
        <v>21186</v>
      </c>
      <c r="D35" s="3">
        <v>68</v>
      </c>
      <c r="G35" s="4">
        <f t="shared" si="1"/>
        <v>33970</v>
      </c>
      <c r="H35" s="5">
        <f t="shared" si="1"/>
        <v>33970</v>
      </c>
      <c r="I35" s="3">
        <v>33</v>
      </c>
      <c r="K35" s="12"/>
      <c r="L35" s="13" t="s">
        <v>10</v>
      </c>
      <c r="M35" s="13"/>
      <c r="N35" s="13"/>
      <c r="O35" s="13"/>
      <c r="P35" s="14"/>
    </row>
    <row r="36" spans="1:18" x14ac:dyDescent="0.45">
      <c r="B36" s="4">
        <f t="shared" si="0"/>
        <v>21551</v>
      </c>
      <c r="C36" s="5">
        <f t="shared" si="0"/>
        <v>21551</v>
      </c>
      <c r="D36" s="3">
        <v>67</v>
      </c>
      <c r="G36" s="4">
        <f t="shared" si="1"/>
        <v>34335</v>
      </c>
      <c r="H36" s="5">
        <f t="shared" si="1"/>
        <v>34335</v>
      </c>
      <c r="I36" s="3">
        <v>32</v>
      </c>
      <c r="K36" s="15"/>
      <c r="L36" s="11" t="s">
        <v>8</v>
      </c>
      <c r="M36" s="11"/>
      <c r="N36" s="11"/>
      <c r="O36" s="11"/>
      <c r="P36" s="16"/>
    </row>
    <row r="37" spans="1:18" x14ac:dyDescent="0.45">
      <c r="B37" s="4">
        <f>DATE(YEAR(B38)-1,1,1)</f>
        <v>21916</v>
      </c>
      <c r="C37" s="5">
        <f>DATE(YEAR(C38)-1,1,1)</f>
        <v>21916</v>
      </c>
      <c r="D37" s="3">
        <v>66</v>
      </c>
      <c r="G37" s="4">
        <f>DATE(YEAR(G38)-1,1,1)</f>
        <v>34700</v>
      </c>
      <c r="H37" s="5">
        <f>DATE(YEAR(H38)-1,1,1)</f>
        <v>34700</v>
      </c>
      <c r="I37" s="3">
        <v>31</v>
      </c>
      <c r="K37" s="15"/>
      <c r="L37" s="11" t="s">
        <v>9</v>
      </c>
      <c r="M37" s="11"/>
      <c r="N37" s="11"/>
      <c r="O37" s="11"/>
      <c r="P37" s="16"/>
    </row>
    <row r="38" spans="1:18" ht="15" customHeight="1" x14ac:dyDescent="0.45">
      <c r="B38" s="4">
        <f>DATE(YEAR(G4)-1,1,1)</f>
        <v>22282</v>
      </c>
      <c r="C38" s="5">
        <f>DATE(YEAR(H4)-1,1,1)</f>
        <v>22282</v>
      </c>
      <c r="D38" s="8">
        <v>65</v>
      </c>
      <c r="E38" t="s">
        <v>5</v>
      </c>
      <c r="G38" s="4">
        <f>DATE(YEAR(L4)-1,1,1)</f>
        <v>35065</v>
      </c>
      <c r="H38" s="5">
        <f>DATE(YEAR(M4)-1,1,1)</f>
        <v>35065</v>
      </c>
      <c r="I38" s="3">
        <v>30</v>
      </c>
      <c r="K38" s="15"/>
      <c r="L38" s="17" t="s">
        <v>11</v>
      </c>
      <c r="M38" s="11"/>
      <c r="N38" s="11"/>
      <c r="O38" s="11"/>
      <c r="P38" s="16"/>
    </row>
    <row r="39" spans="1:18" ht="3" customHeight="1" x14ac:dyDescent="0.45">
      <c r="B39" s="9"/>
      <c r="C39" s="10"/>
      <c r="G39" s="9"/>
      <c r="H39" s="10"/>
      <c r="K39" s="15"/>
      <c r="L39" s="11"/>
      <c r="M39" s="11"/>
      <c r="N39" s="11"/>
      <c r="O39" s="11"/>
      <c r="P39" s="16"/>
    </row>
    <row r="40" spans="1:18" x14ac:dyDescent="0.45">
      <c r="A40" s="36"/>
      <c r="B40" s="19" t="s">
        <v>13</v>
      </c>
      <c r="C40" s="19"/>
      <c r="D40" s="19" t="str">
        <f>YEAR(L18)&amp;"年1月2日以降の生まれ(扶養控除はなし)"</f>
        <v>2011年1月2日以降の生まれ(扶養控除はなし)</v>
      </c>
      <c r="E40" s="20"/>
      <c r="F40" s="20"/>
      <c r="G40" s="20"/>
      <c r="H40" s="20"/>
      <c r="I40" s="20"/>
      <c r="J40" s="21"/>
      <c r="K40" s="11"/>
      <c r="L40" s="11" t="s">
        <v>12</v>
      </c>
      <c r="M40" s="11"/>
      <c r="N40" s="11"/>
      <c r="O40" s="11"/>
      <c r="P40" s="16"/>
    </row>
    <row r="41" spans="1:18" x14ac:dyDescent="0.45">
      <c r="A41" s="34"/>
      <c r="B41" s="22" t="s">
        <v>14</v>
      </c>
      <c r="C41" s="22"/>
      <c r="D41" s="22" t="str">
        <f>YEAR(L15)&amp;"年1月2日生まれ～"&amp;YEAR(L18)&amp;"年1月1日生まれ"</f>
        <v>2008年1月2日生まれ～2011年1月1日生まれ</v>
      </c>
      <c r="E41" s="22"/>
      <c r="F41" s="23"/>
      <c r="G41" s="22"/>
      <c r="H41" s="23"/>
      <c r="I41" s="23"/>
      <c r="J41" s="24"/>
      <c r="K41" s="18"/>
      <c r="L41" s="18"/>
      <c r="M41" s="18"/>
      <c r="N41" s="18"/>
      <c r="O41" s="32" t="s">
        <v>21</v>
      </c>
      <c r="P41" s="31"/>
    </row>
    <row r="42" spans="1:18" x14ac:dyDescent="0.45">
      <c r="A42" s="34"/>
      <c r="B42" s="22" t="s">
        <v>15</v>
      </c>
      <c r="C42" s="22"/>
      <c r="D42" s="22" t="str">
        <f>YEAR(L11)&amp;"年1月2日生まれ～"&amp;YEAR(L15)&amp;"年1月1日生まれ"</f>
        <v>2004年1月2日生まれ～2008年1月1日生まれ</v>
      </c>
      <c r="E42" s="22"/>
      <c r="F42" s="23"/>
      <c r="G42" s="22"/>
      <c r="H42" s="23"/>
      <c r="I42" s="23"/>
      <c r="J42" s="25"/>
      <c r="K42" s="44" t="s">
        <v>20</v>
      </c>
      <c r="L42" s="44"/>
      <c r="M42" s="45"/>
    </row>
    <row r="43" spans="1:18" x14ac:dyDescent="0.45">
      <c r="A43" s="34"/>
      <c r="B43" s="22" t="s">
        <v>16</v>
      </c>
      <c r="C43" s="22"/>
      <c r="D43" s="22" t="str">
        <f>YEAR(B34)&amp;"年1月2日生まれ～"&amp;YEAR(L11)&amp;"年1月1日生まれ"</f>
        <v>1957年1月2日生まれ～2004年1月1日生まれ</v>
      </c>
      <c r="E43" s="22"/>
      <c r="F43" s="23"/>
      <c r="G43" s="22"/>
      <c r="H43" s="23"/>
      <c r="I43" s="23"/>
      <c r="J43" s="25"/>
      <c r="K43" s="46"/>
      <c r="L43" s="46"/>
      <c r="M43" s="47"/>
      <c r="R43" s="30"/>
    </row>
    <row r="44" spans="1:18" x14ac:dyDescent="0.45">
      <c r="A44" s="35"/>
      <c r="B44" s="27" t="s">
        <v>17</v>
      </c>
      <c r="C44" s="26"/>
      <c r="D44" s="27" t="str">
        <f>YEAR(B34)&amp;"年1月1日以前の生まれ(同居老親等かそれ以外かで控除額が変わる)"</f>
        <v>1957年1月1日以前の生まれ(同居老親等かそれ以外かで控除額が変わる)</v>
      </c>
      <c r="E44" s="27"/>
      <c r="F44" s="26"/>
      <c r="G44" s="27"/>
      <c r="H44" s="26"/>
      <c r="I44" s="26"/>
      <c r="J44" s="28"/>
      <c r="K44" s="28"/>
      <c r="L44" s="28"/>
      <c r="M44" s="29"/>
    </row>
  </sheetData>
  <sheetProtection algorithmName="SHA-512" hashValue="wL6HEk3ti2Zm1XIv3+968RGlsw8VnRHWL29naKf3APIpNbewStlFD2hSuVkdPs7tt9yR4V31VzlhFJcDQ4XRdg==" saltValue="4SxsHtMmytiK1OfHKkeWhw==" spinCount="100000" sheet="1" objects="1" scenarios="1" selectLockedCells="1"/>
  <mergeCells count="1">
    <mergeCell ref="K42:M43"/>
  </mergeCells>
  <phoneticPr fontId="1"/>
  <pageMargins left="0.23622047244094491" right="0.23622047244094491" top="0.35433070866141736" bottom="0.35433070866141736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DA6E-BE0A-44D8-8675-E0B939B171CD}">
  <dimension ref="A1:D26"/>
  <sheetViews>
    <sheetView tabSelected="1" workbookViewId="0">
      <selection activeCell="C4" sqref="C4"/>
    </sheetView>
  </sheetViews>
  <sheetFormatPr defaultRowHeight="18" x14ac:dyDescent="0.45"/>
  <cols>
    <col min="3" max="3" width="30.5" bestFit="1" customWidth="1"/>
    <col min="4" max="4" width="2.19921875" customWidth="1"/>
  </cols>
  <sheetData>
    <row r="1" spans="1:4" ht="22.2" x14ac:dyDescent="0.45">
      <c r="A1" s="1" t="s">
        <v>28</v>
      </c>
    </row>
    <row r="2" spans="1:4" ht="19.8" x14ac:dyDescent="0.45">
      <c r="A2" s="37" t="s">
        <v>22</v>
      </c>
    </row>
    <row r="3" spans="1:4" x14ac:dyDescent="0.45">
      <c r="B3" s="38" t="s">
        <v>23</v>
      </c>
      <c r="C3" s="42">
        <v>32478</v>
      </c>
      <c r="D3" t="s">
        <v>26</v>
      </c>
    </row>
    <row r="4" spans="1:4" x14ac:dyDescent="0.45">
      <c r="B4" s="39" t="s">
        <v>24</v>
      </c>
      <c r="C4" s="43"/>
      <c r="D4" t="s">
        <v>29</v>
      </c>
    </row>
    <row r="5" spans="1:4" x14ac:dyDescent="0.45">
      <c r="B5" s="40" t="s">
        <v>25</v>
      </c>
      <c r="C5" s="41" t="str">
        <f ca="1">IF(C4&lt;&gt;"",DATEDIF(C3,C4,"Y")&amp;"年"&amp;DATEDIF(C3,C4,"YM")&amp;"ヶ月",DATEDIF(C3,TODAY(),"Y")&amp;"年"&amp;DATEDIF(C3,TODAY(),"YM")&amp;"ヶ月")</f>
        <v>37年10ヶ月</v>
      </c>
      <c r="D5" t="s">
        <v>27</v>
      </c>
    </row>
    <row r="7" spans="1:4" x14ac:dyDescent="0.45">
      <c r="A7" t="s">
        <v>30</v>
      </c>
    </row>
    <row r="9">
      <c r="A9" s="37" t="inlineStr">
        <is>
          <t>生年月日から年齢を計算(西暦・和暦どちらでも可)</t>
        </is>
      </c>
    </row>
    <row r="10">
      <c r="B10" s="3" t="inlineStr">
        <is>
          <t>元号</t>
        </is>
      </c>
      <c r="C10" s="48" t="inlineStr">
        <is>
          <t>昭和</t>
        </is>
      </c>
      <c r="D10" t="inlineStr">
        <is>
          <t>←プルダウンで選択(西暦で入力する場合は「西暦」)</t>
        </is>
      </c>
    </row>
    <row r="11">
      <c r="B11" s="3" t="inlineStr">
        <is>
          <t>年</t>
        </is>
      </c>
      <c r="C11" s="48">
        <v>63</v>
      </c>
      <c r="D11" t="inlineStr">
        <is>
          <t>←和暦の場合、元年は1と入力</t>
        </is>
      </c>
    </row>
    <row r="12">
      <c r="B12" s="3" t="inlineStr">
        <is>
          <t>月</t>
        </is>
      </c>
      <c r="C12" s="48">
        <v>12</v>
      </c>
    </row>
    <row r="13">
      <c r="B13" s="3" t="inlineStr">
        <is>
          <t>日</t>
        </is>
      </c>
      <c r="C13" s="48">
        <v>1</v>
      </c>
    </row>
    <row r="14">
      <c r="B14" s="3" t="inlineStr">
        <is>
          <t>基準日</t>
        </is>
      </c>
      <c r="C14" s="49"/>
      <c r="D14" t="inlineStr">
        <is>
          <t>←空白なら今日時点の年齢(日付で入力)</t>
        </is>
      </c>
    </row>
    <row r="16">
      <c r="B16" s="3" t="inlineStr">
        <is>
          <t>西暦年</t>
        </is>
      </c>
      <c r="C16" s="54">
        <f>IF(COUNTA(C10:C13)&lt;4,"",IFERROR(IF(C10="西暦",C11,YEAR(INDEX($C$22:$C$26,MATCH(C10,$B$22:$B$26,0)))+C11-1),""))</f>
        <v>1988</v>
      </c>
    </row>
    <row r="17">
      <c r="B17" s="3" t="inlineStr">
        <is>
          <t>生年月日</t>
        </is>
      </c>
      <c r="C17" s="50">
        <f>IF(C16="","",IFERROR(IF(OR(C16&lt;1900,MONTH(DATE(C16,C12,C13))&lt;&gt;C12,DATE(C16,C12,C13)&lt;IF(C10="西暦",0,INDEX($C$22:$C$26,MATCH(C10,$B$22:$B$26,0))),DATE(C16,C12,C13)&gt;=IF(OR(C10="西暦",C10="令和"),2958465,INDEX($C$22:$C$26,MATCH(C10,$B$22:$B$26,0)+1))),"入力エラー",DATE(C16,C12,C13)),"入力エラー"))</f>
        <v>32478</v>
      </c>
    </row>
    <row r="18">
      <c r="B18" s="3" t="inlineStr">
        <is>
          <t>年齢</t>
        </is>
      </c>
      <c r="C18" s="51">
        <f ca="1">IF(ISNUMBER(C17),IFERROR(DATEDIF(C17,IF(C14&lt;&gt;"",C14,TODAY()),"Y"),"基準日が生年月日より前です"),"")</f>
        <v>37</v>
      </c>
    </row>
    <row r="20">
      <c r="A20" t="inlineStr">
        <is>
          <t>※元号の開始日(計算に使う参照表です。変更しないでください)</t>
        </is>
      </c>
    </row>
    <row r="21">
      <c r="B21" s="53" t="inlineStr">
        <is>
          <t>元号</t>
        </is>
      </c>
      <c r="C21" s="53" t="inlineStr">
        <is>
          <t>開始日</t>
        </is>
      </c>
    </row>
    <row r="22">
      <c r="B22" s="53" t="inlineStr">
        <is>
          <t>明治</t>
        </is>
      </c>
      <c r="C22" s="52">
        <v>-11662</v>
      </c>
    </row>
    <row r="23">
      <c r="B23" s="53" t="inlineStr">
        <is>
          <t>大正</t>
        </is>
      </c>
      <c r="C23" s="52">
        <v>4595</v>
      </c>
    </row>
    <row r="24">
      <c r="B24" s="53" t="inlineStr">
        <is>
          <t>昭和</t>
        </is>
      </c>
      <c r="C24" s="52">
        <v>9856</v>
      </c>
    </row>
    <row r="25">
      <c r="B25" s="53" t="inlineStr">
        <is>
          <t>平成</t>
        </is>
      </c>
      <c r="C25" s="52">
        <v>32516</v>
      </c>
    </row>
    <row r="26">
      <c r="B26" s="53" t="inlineStr">
        <is>
          <t>令和</t>
        </is>
      </c>
      <c r="C26" s="52">
        <v>43586</v>
      </c>
    </row>
  </sheetData>
  <sheetProtection algorithmName="SHA-512" hashValue="bfSwLvXWZdCUSvc3w+3H2BkYH2qz5YvTBH7mTiCT0UpdZsGvvAf+h8KICiWtWI6f8mb7fP1KpxCxBV1O49t2zg==" saltValue="cm/qaa3RJtNCTszMZrvBUw==" spinCount="100000" sheet="1" objects="1" scenarios="1" selectLockedCells="1"/>
  <phoneticPr fontId="1"/>
  <dataValidations count="5">
    <dataValidation type="list" allowBlank="1" showInputMessage="1" showErrorMessage="1" errorTitle="元号" error="リストから選択してください。" sqref="C10">
      <formula1>"西暦,明治,大正,昭和,平成,令和"</formula1>
    </dataValidation>
    <dataValidation type="whole" allowBlank="1" showErrorMessage="1" errorTitle="年" error="1〜9999の整数で入力してください。" sqref="C11">
      <formula1>1</formula1>
      <formula2>9999</formula2>
    </dataValidation>
    <dataValidation type="whole" allowBlank="1" showErrorMessage="1" errorTitle="月" error="1〜12の整数で入力してください。" sqref="C12">
      <formula1>1</formula1>
      <formula2>12</formula2>
    </dataValidation>
    <dataValidation type="whole" allowBlank="1" showErrorMessage="1" errorTitle="日" error="1〜31の整数で入力してください。" sqref="C13">
      <formula1>1</formula1>
      <formula2>31</formula2>
    </dataValidation>
    <dataValidation type="date" operator="greaterThan" allowBlank="1" showErrorMessage="1" errorTitle="基準日" error="日付で入力してください(例:2026/1/1)。" sqref="C14">
      <formula1>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印刷</vt:lpstr>
      <vt:lpstr>ツール</vt:lpstr>
      <vt:lpstr>印刷!Print_Area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伊藤泰人</cp:lastModifiedBy>
  <cp:lastPrinted>2026-10-13T05:47:46Z</cp:lastPrinted>
  <dcterms:created xsi:type="dcterms:W3CDTF">2026-10-12T05:51:11Z</dcterms:created>
  <dcterms:modified xsi:type="dcterms:W3CDTF">2026-10-13T07:01:45Z</dcterms:modified>
</cp:coreProperties>
</file>