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力シート" sheetId="1" state="visible" r:id="rId1"/>
    <sheet name="判定結果" sheetId="2" state="visible" r:id="rId2"/>
    <sheet name="要件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%"/>
    <numFmt numFmtId="166" formatCode="#,##0円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9"/>
      <sz val="9"/>
    </font>
    <font>
      <b val="1"/>
      <color rgb="001F4E79"/>
      <sz val="11"/>
    </font>
    <font>
      <b val="1"/>
      <color rgb="001F4E79"/>
      <sz val="10"/>
    </font>
    <font>
      <sz val="10"/>
    </font>
    <font>
      <b val="1"/>
      <color rgb="00FFFFFF"/>
      <sz val="9"/>
    </font>
    <font>
      <b val="1"/>
      <sz val="10"/>
    </font>
    <font>
      <b val="1"/>
      <color rgb="00FFFFFF"/>
      <sz val="13"/>
    </font>
    <font>
      <color rgb="00FF0000"/>
      <sz val="9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F8F8F8"/>
        <bgColor rgb="00F8F8F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" fontId="5" fillId="8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6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1" t="inlineStr">
        <is>
          <t>キャリアアップ助成金（正社員化コース）要件チェックシート</t>
        </is>
      </c>
    </row>
    <row r="2" ht="18" customHeight="1">
      <c r="A2" s="2" t="inlineStr">
        <is>
          <t>※黄色セルに入力してください　　自動計算セルは変更しないでください</t>
        </is>
      </c>
    </row>
    <row r="4" ht="20" customHeight="1">
      <c r="A4" s="3" t="inlineStr">
        <is>
          <t>【企業情報】</t>
        </is>
      </c>
    </row>
    <row r="5" ht="20" customHeight="1">
      <c r="A5" s="4" t="inlineStr">
        <is>
          <t>事業所名</t>
        </is>
      </c>
      <c r="B5" s="5" t="n"/>
      <c r="C5" s="6" t="n"/>
      <c r="D5" s="7" t="n"/>
      <c r="E5" s="4" t="inlineStr">
        <is>
          <t>企業規模</t>
        </is>
      </c>
      <c r="F5" s="5" t="n"/>
      <c r="G5" s="6" t="n"/>
      <c r="H5" s="7" t="n"/>
    </row>
    <row r="6" ht="20" customHeight="1">
      <c r="A6" s="4" t="inlineStr">
        <is>
          <t>事業所番号（雇用保険）</t>
        </is>
      </c>
      <c r="B6" s="5" t="n"/>
      <c r="C6" s="6" t="n"/>
      <c r="D6" s="7" t="n"/>
      <c r="E6" s="4" t="inlineStr">
        <is>
          <t>キャリアアップ計画　提出日</t>
        </is>
      </c>
      <c r="F6" s="5" t="n"/>
      <c r="G6" s="6" t="n"/>
      <c r="H6" s="8" t="n"/>
    </row>
    <row r="7" ht="20" customHeight="1">
      <c r="A7" s="4" t="inlineStr">
        <is>
          <t>所在地</t>
        </is>
      </c>
      <c r="B7" s="5" t="n"/>
      <c r="C7" s="6" t="n"/>
      <c r="D7" s="7" t="n"/>
      <c r="E7" s="4" t="inlineStr">
        <is>
          <t>キャリアアップ計画　受理日</t>
        </is>
      </c>
      <c r="F7" s="5" t="n"/>
      <c r="G7" s="6" t="n"/>
      <c r="H7" s="8" t="n"/>
    </row>
    <row r="8" ht="20" customHeight="1">
      <c r="A8" s="4" t="inlineStr">
        <is>
          <t>担当社労士</t>
        </is>
      </c>
      <c r="B8" s="5" t="n"/>
      <c r="C8" s="6" t="n"/>
      <c r="D8" s="7" t="n"/>
      <c r="E8" s="4" t="inlineStr">
        <is>
          <t>就業規則　転換規定</t>
        </is>
      </c>
      <c r="F8" s="5" t="n"/>
      <c r="G8" s="6" t="n"/>
      <c r="H8" s="7" t="n"/>
    </row>
    <row r="10" ht="20" customHeight="1">
      <c r="A10" s="3" t="inlineStr">
        <is>
          <t>【対象者情報】</t>
        </is>
      </c>
    </row>
    <row r="11" ht="40" customHeight="1">
      <c r="A11" s="9" t="inlineStr">
        <is>
          <t>No.</t>
        </is>
      </c>
      <c r="B11" s="9" t="inlineStr">
        <is>
          <t>対象者氏名</t>
        </is>
      </c>
      <c r="C11" s="9" t="inlineStr">
        <is>
          <t>雇用形態</t>
        </is>
      </c>
      <c r="D11" s="9" t="inlineStr">
        <is>
          <t>雇用開始日</t>
        </is>
      </c>
      <c r="E11" s="9" t="inlineStr">
        <is>
          <t>転換日</t>
        </is>
      </c>
      <c r="F11" s="9" t="inlineStr">
        <is>
          <t>雇用期間
(日数)</t>
        </is>
      </c>
      <c r="G11" s="9" t="inlineStr">
        <is>
          <t>転換前賃金
(月額)</t>
        </is>
      </c>
      <c r="H11" s="9" t="inlineStr">
        <is>
          <t>転換後賃金
(月額)</t>
        </is>
      </c>
      <c r="I11" s="9" t="inlineStr">
        <is>
          <t>賃金UP率</t>
        </is>
      </c>
      <c r="J11" s="9" t="inlineStr">
        <is>
          <t>会社都合
離職者数
(過去6ヶ月)</t>
        </is>
      </c>
      <c r="K11" s="9" t="inlineStr">
        <is>
          <t>備考</t>
        </is>
      </c>
    </row>
    <row r="12" ht="18" customHeight="1">
      <c r="A12" s="10" t="n">
        <v>1</v>
      </c>
      <c r="B12" s="7" t="n"/>
      <c r="C12" s="11" t="n"/>
      <c r="D12" s="12" t="n"/>
      <c r="E12" s="12" t="n"/>
      <c r="F12" s="13">
        <f>IF(AND(D12&lt;&gt;"",E12&lt;&gt;""),E12-D12,"")</f>
        <v/>
      </c>
      <c r="G12" s="14" t="n"/>
      <c r="H12" s="14" t="n"/>
      <c r="I12" s="15">
        <f>IF(AND(G12&lt;&gt;"",H12&lt;&gt;"",G12&gt;0),(H12-G12)/G12,"")</f>
        <v/>
      </c>
      <c r="J12" s="16" t="n"/>
      <c r="K12" s="7" t="n"/>
    </row>
    <row r="13" ht="18" customHeight="1">
      <c r="A13" s="10" t="n">
        <v>2</v>
      </c>
      <c r="B13" s="7" t="n"/>
      <c r="C13" s="11" t="n"/>
      <c r="D13" s="12" t="n"/>
      <c r="E13" s="12" t="n"/>
      <c r="F13" s="13">
        <f>IF(AND(D13&lt;&gt;"",E13&lt;&gt;""),E13-D13,"")</f>
        <v/>
      </c>
      <c r="G13" s="14" t="n"/>
      <c r="H13" s="14" t="n"/>
      <c r="I13" s="15">
        <f>IF(AND(G13&lt;&gt;"",H13&lt;&gt;"",G13&gt;0),(H13-G13)/G13,"")</f>
        <v/>
      </c>
      <c r="J13" s="16" t="n"/>
      <c r="K13" s="7" t="n"/>
    </row>
    <row r="14" ht="18" customHeight="1">
      <c r="A14" s="10" t="n">
        <v>3</v>
      </c>
      <c r="B14" s="7" t="n"/>
      <c r="C14" s="11" t="n"/>
      <c r="D14" s="12" t="n"/>
      <c r="E14" s="12" t="n"/>
      <c r="F14" s="13">
        <f>IF(AND(D14&lt;&gt;"",E14&lt;&gt;""),E14-D14,"")</f>
        <v/>
      </c>
      <c r="G14" s="14" t="n"/>
      <c r="H14" s="14" t="n"/>
      <c r="I14" s="15">
        <f>IF(AND(G14&lt;&gt;"",H14&lt;&gt;"",G14&gt;0),(H14-G14)/G14,"")</f>
        <v/>
      </c>
      <c r="J14" s="16" t="n"/>
      <c r="K14" s="7" t="n"/>
    </row>
    <row r="15" ht="18" customHeight="1">
      <c r="A15" s="10" t="n">
        <v>4</v>
      </c>
      <c r="B15" s="7" t="n"/>
      <c r="C15" s="11" t="n"/>
      <c r="D15" s="12" t="n"/>
      <c r="E15" s="12" t="n"/>
      <c r="F15" s="13">
        <f>IF(AND(D15&lt;&gt;"",E15&lt;&gt;""),E15-D15,"")</f>
        <v/>
      </c>
      <c r="G15" s="14" t="n"/>
      <c r="H15" s="14" t="n"/>
      <c r="I15" s="15">
        <f>IF(AND(G15&lt;&gt;"",H15&lt;&gt;"",G15&gt;0),(H15-G15)/G15,"")</f>
        <v/>
      </c>
      <c r="J15" s="16" t="n"/>
      <c r="K15" s="7" t="n"/>
    </row>
    <row r="16" ht="18" customHeight="1">
      <c r="A16" s="10" t="n">
        <v>5</v>
      </c>
      <c r="B16" s="7" t="n"/>
      <c r="C16" s="11" t="n"/>
      <c r="D16" s="12" t="n"/>
      <c r="E16" s="12" t="n"/>
      <c r="F16" s="13">
        <f>IF(AND(D16&lt;&gt;"",E16&lt;&gt;""),E16-D16,"")</f>
        <v/>
      </c>
      <c r="G16" s="14" t="n"/>
      <c r="H16" s="14" t="n"/>
      <c r="I16" s="15">
        <f>IF(AND(G16&lt;&gt;"",H16&lt;&gt;"",G16&gt;0),(H16-G16)/G16,"")</f>
        <v/>
      </c>
      <c r="J16" s="16" t="n"/>
      <c r="K16" s="7" t="n"/>
    </row>
    <row r="17" ht="18" customHeight="1">
      <c r="A17" s="10" t="n">
        <v>6</v>
      </c>
      <c r="B17" s="7" t="n"/>
      <c r="C17" s="11" t="n"/>
      <c r="D17" s="12" t="n"/>
      <c r="E17" s="12" t="n"/>
      <c r="F17" s="13">
        <f>IF(AND(D17&lt;&gt;"",E17&lt;&gt;""),E17-D17,"")</f>
        <v/>
      </c>
      <c r="G17" s="14" t="n"/>
      <c r="H17" s="14" t="n"/>
      <c r="I17" s="15">
        <f>IF(AND(G17&lt;&gt;"",H17&lt;&gt;"",G17&gt;0),(H17-G17)/G17,"")</f>
        <v/>
      </c>
      <c r="J17" s="16" t="n"/>
      <c r="K17" s="7" t="n"/>
    </row>
    <row r="18" ht="18" customHeight="1">
      <c r="A18" s="10" t="n">
        <v>7</v>
      </c>
      <c r="B18" s="7" t="n"/>
      <c r="C18" s="11" t="n"/>
      <c r="D18" s="12" t="n"/>
      <c r="E18" s="12" t="n"/>
      <c r="F18" s="13">
        <f>IF(AND(D18&lt;&gt;"",E18&lt;&gt;""),E18-D18,"")</f>
        <v/>
      </c>
      <c r="G18" s="14" t="n"/>
      <c r="H18" s="14" t="n"/>
      <c r="I18" s="15">
        <f>IF(AND(G18&lt;&gt;"",H18&lt;&gt;"",G18&gt;0),(H18-G18)/G18,"")</f>
        <v/>
      </c>
      <c r="J18" s="16" t="n"/>
      <c r="K18" s="7" t="n"/>
    </row>
    <row r="19" ht="18" customHeight="1">
      <c r="A19" s="10" t="n">
        <v>8</v>
      </c>
      <c r="B19" s="7" t="n"/>
      <c r="C19" s="11" t="n"/>
      <c r="D19" s="12" t="n"/>
      <c r="E19" s="12" t="n"/>
      <c r="F19" s="13">
        <f>IF(AND(D19&lt;&gt;"",E19&lt;&gt;""),E19-D19,"")</f>
        <v/>
      </c>
      <c r="G19" s="14" t="n"/>
      <c r="H19" s="14" t="n"/>
      <c r="I19" s="15">
        <f>IF(AND(G19&lt;&gt;"",H19&lt;&gt;"",G19&gt;0),(H19-G19)/G19,"")</f>
        <v/>
      </c>
      <c r="J19" s="16" t="n"/>
      <c r="K19" s="7" t="n"/>
    </row>
    <row r="20" ht="18" customHeight="1">
      <c r="A20" s="10" t="n">
        <v>9</v>
      </c>
      <c r="B20" s="7" t="n"/>
      <c r="C20" s="11" t="n"/>
      <c r="D20" s="12" t="n"/>
      <c r="E20" s="12" t="n"/>
      <c r="F20" s="13">
        <f>IF(AND(D20&lt;&gt;"",E20&lt;&gt;""),E20-D20,"")</f>
        <v/>
      </c>
      <c r="G20" s="14" t="n"/>
      <c r="H20" s="14" t="n"/>
      <c r="I20" s="15">
        <f>IF(AND(G20&lt;&gt;"",H20&lt;&gt;"",G20&gt;0),(H20-G20)/G20,"")</f>
        <v/>
      </c>
      <c r="J20" s="16" t="n"/>
      <c r="K20" s="7" t="n"/>
    </row>
    <row r="21" ht="18" customHeight="1">
      <c r="A21" s="10" t="n">
        <v>10</v>
      </c>
      <c r="B21" s="7" t="n"/>
      <c r="C21" s="11" t="n"/>
      <c r="D21" s="12" t="n"/>
      <c r="E21" s="12" t="n"/>
      <c r="F21" s="13">
        <f>IF(AND(D21&lt;&gt;"",E21&lt;&gt;""),E21-D21,"")</f>
        <v/>
      </c>
      <c r="G21" s="14" t="n"/>
      <c r="H21" s="14" t="n"/>
      <c r="I21" s="15">
        <f>IF(AND(G21&lt;&gt;"",H21&lt;&gt;"",G21&gt;0),(H21-G21)/G21,"")</f>
        <v/>
      </c>
      <c r="J21" s="16" t="n"/>
      <c r="K21" s="7" t="n"/>
    </row>
    <row r="22" ht="18" customHeight="1">
      <c r="A22" s="10" t="n">
        <v>11</v>
      </c>
      <c r="B22" s="7" t="n"/>
      <c r="C22" s="11" t="n"/>
      <c r="D22" s="12" t="n"/>
      <c r="E22" s="12" t="n"/>
      <c r="F22" s="13">
        <f>IF(AND(D22&lt;&gt;"",E22&lt;&gt;""),E22-D22,"")</f>
        <v/>
      </c>
      <c r="G22" s="14" t="n"/>
      <c r="H22" s="14" t="n"/>
      <c r="I22" s="15">
        <f>IF(AND(G22&lt;&gt;"",H22&lt;&gt;"",G22&gt;0),(H22-G22)/G22,"")</f>
        <v/>
      </c>
      <c r="J22" s="16" t="n"/>
      <c r="K22" s="7" t="n"/>
    </row>
    <row r="23" ht="18" customHeight="1">
      <c r="A23" s="10" t="n">
        <v>12</v>
      </c>
      <c r="B23" s="7" t="n"/>
      <c r="C23" s="11" t="n"/>
      <c r="D23" s="12" t="n"/>
      <c r="E23" s="12" t="n"/>
      <c r="F23" s="13">
        <f>IF(AND(D23&lt;&gt;"",E23&lt;&gt;""),E23-D23,"")</f>
        <v/>
      </c>
      <c r="G23" s="14" t="n"/>
      <c r="H23" s="14" t="n"/>
      <c r="I23" s="15">
        <f>IF(AND(G23&lt;&gt;"",H23&lt;&gt;"",G23&gt;0),(H23-G23)/G23,"")</f>
        <v/>
      </c>
      <c r="J23" s="16" t="n"/>
      <c r="K23" s="7" t="n"/>
    </row>
    <row r="24" ht="18" customHeight="1">
      <c r="A24" s="10" t="n">
        <v>13</v>
      </c>
      <c r="B24" s="7" t="n"/>
      <c r="C24" s="11" t="n"/>
      <c r="D24" s="12" t="n"/>
      <c r="E24" s="12" t="n"/>
      <c r="F24" s="13">
        <f>IF(AND(D24&lt;&gt;"",E24&lt;&gt;""),E24-D24,"")</f>
        <v/>
      </c>
      <c r="G24" s="14" t="n"/>
      <c r="H24" s="14" t="n"/>
      <c r="I24" s="15">
        <f>IF(AND(G24&lt;&gt;"",H24&lt;&gt;"",G24&gt;0),(H24-G24)/G24,"")</f>
        <v/>
      </c>
      <c r="J24" s="16" t="n"/>
      <c r="K24" s="7" t="n"/>
    </row>
    <row r="25" ht="18" customHeight="1">
      <c r="A25" s="10" t="n">
        <v>14</v>
      </c>
      <c r="B25" s="7" t="n"/>
      <c r="C25" s="11" t="n"/>
      <c r="D25" s="12" t="n"/>
      <c r="E25" s="12" t="n"/>
      <c r="F25" s="13">
        <f>IF(AND(D25&lt;&gt;"",E25&lt;&gt;""),E25-D25,"")</f>
        <v/>
      </c>
      <c r="G25" s="14" t="n"/>
      <c r="H25" s="14" t="n"/>
      <c r="I25" s="15">
        <f>IF(AND(G25&lt;&gt;"",H25&lt;&gt;"",G25&gt;0),(H25-G25)/G25,"")</f>
        <v/>
      </c>
      <c r="J25" s="16" t="n"/>
      <c r="K25" s="7" t="n"/>
    </row>
    <row r="26" ht="18" customHeight="1">
      <c r="A26" s="10" t="n">
        <v>15</v>
      </c>
      <c r="B26" s="7" t="n"/>
      <c r="C26" s="11" t="n"/>
      <c r="D26" s="12" t="n"/>
      <c r="E26" s="12" t="n"/>
      <c r="F26" s="13">
        <f>IF(AND(D26&lt;&gt;"",E26&lt;&gt;""),E26-D26,"")</f>
        <v/>
      </c>
      <c r="G26" s="14" t="n"/>
      <c r="H26" s="14" t="n"/>
      <c r="I26" s="15">
        <f>IF(AND(G26&lt;&gt;"",H26&lt;&gt;"",G26&gt;0),(H26-G26)/G26,"")</f>
        <v/>
      </c>
      <c r="J26" s="16" t="n"/>
      <c r="K26" s="7" t="n"/>
    </row>
    <row r="27" ht="18" customHeight="1">
      <c r="A27" s="10" t="n">
        <v>16</v>
      </c>
      <c r="B27" s="7" t="n"/>
      <c r="C27" s="11" t="n"/>
      <c r="D27" s="12" t="n"/>
      <c r="E27" s="12" t="n"/>
      <c r="F27" s="13">
        <f>IF(AND(D27&lt;&gt;"",E27&lt;&gt;""),E27-D27,"")</f>
        <v/>
      </c>
      <c r="G27" s="14" t="n"/>
      <c r="H27" s="14" t="n"/>
      <c r="I27" s="15">
        <f>IF(AND(G27&lt;&gt;"",H27&lt;&gt;"",G27&gt;0),(H27-G27)/G27,"")</f>
        <v/>
      </c>
      <c r="J27" s="16" t="n"/>
      <c r="K27" s="7" t="n"/>
    </row>
    <row r="28" ht="18" customHeight="1">
      <c r="A28" s="10" t="n">
        <v>17</v>
      </c>
      <c r="B28" s="7" t="n"/>
      <c r="C28" s="11" t="n"/>
      <c r="D28" s="12" t="n"/>
      <c r="E28" s="12" t="n"/>
      <c r="F28" s="13">
        <f>IF(AND(D28&lt;&gt;"",E28&lt;&gt;""),E28-D28,"")</f>
        <v/>
      </c>
      <c r="G28" s="14" t="n"/>
      <c r="H28" s="14" t="n"/>
      <c r="I28" s="15">
        <f>IF(AND(G28&lt;&gt;"",H28&lt;&gt;"",G28&gt;0),(H28-G28)/G28,"")</f>
        <v/>
      </c>
      <c r="J28" s="16" t="n"/>
      <c r="K28" s="7" t="n"/>
    </row>
    <row r="29" ht="18" customHeight="1">
      <c r="A29" s="10" t="n">
        <v>18</v>
      </c>
      <c r="B29" s="7" t="n"/>
      <c r="C29" s="11" t="n"/>
      <c r="D29" s="12" t="n"/>
      <c r="E29" s="12" t="n"/>
      <c r="F29" s="13">
        <f>IF(AND(D29&lt;&gt;"",E29&lt;&gt;""),E29-D29,"")</f>
        <v/>
      </c>
      <c r="G29" s="14" t="n"/>
      <c r="H29" s="14" t="n"/>
      <c r="I29" s="15">
        <f>IF(AND(G29&lt;&gt;"",H29&lt;&gt;"",G29&gt;0),(H29-G29)/G29,"")</f>
        <v/>
      </c>
      <c r="J29" s="16" t="n"/>
      <c r="K29" s="7" t="n"/>
    </row>
    <row r="30" ht="18" customHeight="1">
      <c r="A30" s="10" t="n">
        <v>19</v>
      </c>
      <c r="B30" s="7" t="n"/>
      <c r="C30" s="11" t="n"/>
      <c r="D30" s="12" t="n"/>
      <c r="E30" s="12" t="n"/>
      <c r="F30" s="13">
        <f>IF(AND(D30&lt;&gt;"",E30&lt;&gt;""),E30-D30,"")</f>
        <v/>
      </c>
      <c r="G30" s="14" t="n"/>
      <c r="H30" s="14" t="n"/>
      <c r="I30" s="15">
        <f>IF(AND(G30&lt;&gt;"",H30&lt;&gt;"",G30&gt;0),(H30-G30)/G30,"")</f>
        <v/>
      </c>
      <c r="J30" s="16" t="n"/>
      <c r="K30" s="7" t="n"/>
    </row>
    <row r="31" ht="18" customHeight="1">
      <c r="A31" s="10" t="n">
        <v>20</v>
      </c>
      <c r="B31" s="7" t="n"/>
      <c r="C31" s="11" t="n"/>
      <c r="D31" s="12" t="n"/>
      <c r="E31" s="12" t="n"/>
      <c r="F31" s="13">
        <f>IF(AND(D31&lt;&gt;"",E31&lt;&gt;""),E31-D31,"")</f>
        <v/>
      </c>
      <c r="G31" s="14" t="n"/>
      <c r="H31" s="14" t="n"/>
      <c r="I31" s="15">
        <f>IF(AND(G31&lt;&gt;"",H31&lt;&gt;"",G31&gt;0),(H31-G31)/G31,"")</f>
        <v/>
      </c>
      <c r="J31" s="16" t="n"/>
      <c r="K31" s="7" t="n"/>
    </row>
  </sheetData>
  <mergeCells count="20">
    <mergeCell ref="D8"/>
    <mergeCell ref="D5"/>
    <mergeCell ref="E6:G6"/>
    <mergeCell ref="A1:N1"/>
    <mergeCell ref="H5:N5"/>
    <mergeCell ref="H8:N8"/>
    <mergeCell ref="A5:C5"/>
    <mergeCell ref="A8:C8"/>
    <mergeCell ref="E7:G7"/>
    <mergeCell ref="A2:N2"/>
    <mergeCell ref="D6"/>
    <mergeCell ref="H6:N6"/>
    <mergeCell ref="A4:N4"/>
    <mergeCell ref="E5:G5"/>
    <mergeCell ref="D7"/>
    <mergeCell ref="A6:C6"/>
    <mergeCell ref="E8:G8"/>
    <mergeCell ref="H7:N7"/>
    <mergeCell ref="A10:N10"/>
    <mergeCell ref="A7:C7"/>
  </mergeCells>
  <conditionalFormatting sqref="I12:I31">
    <cfRule type="cellIs" priority="1" operator="greaterThanOrEqual" dxfId="0">
      <formula>0.03</formula>
    </cfRule>
    <cfRule type="cellIs" priority="2" operator="lessThan" dxfId="1">
      <formula>0.03</formula>
    </cfRule>
  </conditionalFormatting>
  <conditionalFormatting sqref="F12:F31">
    <cfRule type="cellIs" priority="3" operator="greaterThanOrEqual" dxfId="0">
      <formula>180</formula>
    </cfRule>
    <cfRule type="cellIs" priority="4" operator="lessThan" dxfId="1">
      <formula>180</formula>
    </cfRule>
  </conditionalFormatting>
  <dataValidations count="3">
    <dataValidation sqref="H5" showDropDown="0" showInputMessage="0" showErrorMessage="0" allowBlank="1" type="list">
      <formula1>"中小企業,大企業"</formula1>
    </dataValidation>
    <dataValidation sqref="H8" showDropDown="0" showInputMessage="0" showErrorMessage="0" allowBlank="1" type="list">
      <formula1>"あり,なし,未確認"</formula1>
    </dataValidation>
    <dataValidation sqref="C12 C13 C14 C15 C16 C17 C18 C19 C20 C21 C22 C23 C24 C25 C26 C27 C28 C29 C30 C31" showDropDown="0" showInputMessage="0" showErrorMessage="0" allowBlank="1" type="list">
      <formula1>"有期契約,無期契約,派遣"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6" customWidth="1" min="9" max="9"/>
    <col width="14" customWidth="1" min="10" max="10"/>
    <col width="14" customWidth="1" min="11" max="11"/>
    <col width="20" customWidth="1" min="12" max="12"/>
  </cols>
  <sheetData>
    <row r="1" ht="30" customHeight="1">
      <c r="A1" s="1" t="inlineStr">
        <is>
          <t>キャリアアップ助成金（正社員化コース）判定結果</t>
        </is>
      </c>
    </row>
    <row r="2" ht="18" customHeight="1">
      <c r="A2" s="2" t="inlineStr">
        <is>
          <t>※入力シートの値を自動で判定します　変更しないでください</t>
        </is>
      </c>
    </row>
    <row r="4" ht="45" customHeight="1">
      <c r="A4" s="9" t="inlineStr">
        <is>
          <t>No.</t>
        </is>
      </c>
      <c r="B4" s="9" t="inlineStr">
        <is>
          <t>対象者氏名</t>
        </is>
      </c>
      <c r="C4" s="9" t="inlineStr">
        <is>
          <t>雇用期間
(6ヶ月以上)</t>
        </is>
      </c>
      <c r="D4" s="9" t="inlineStr">
        <is>
          <t>賃金UP
(3%以上)</t>
        </is>
      </c>
      <c r="E4" s="9" t="inlineStr">
        <is>
          <t>就業規則
転換規定</t>
        </is>
      </c>
      <c r="F4" s="9" t="inlineStr">
        <is>
          <t>会社都合
離職者なし</t>
        </is>
      </c>
      <c r="G4" s="9" t="inlineStr">
        <is>
          <t>計画
受理済み</t>
        </is>
      </c>
      <c r="H4" s="9" t="inlineStr">
        <is>
          <t>総合判定</t>
        </is>
      </c>
      <c r="I4" s="9" t="inlineStr">
        <is>
          <t>助成見込額
(中小企業)</t>
        </is>
      </c>
      <c r="J4" s="9" t="inlineStr">
        <is>
          <t>申請期限
(開始)</t>
        </is>
      </c>
      <c r="K4" s="9" t="inlineStr">
        <is>
          <t>申請期限
(終了)</t>
        </is>
      </c>
      <c r="L4" s="9" t="inlineStr">
        <is>
          <t>備考</t>
        </is>
      </c>
    </row>
    <row r="5" ht="18" customHeight="1">
      <c r="A5" s="10">
        <f>入力シート!A12</f>
        <v/>
      </c>
      <c r="B5" s="17">
        <f>入力シート!B12</f>
        <v/>
      </c>
      <c r="C5" s="18">
        <f>IF(入力シート!D12="","－",IF(入力シート!F12&gt;=180,"✅ OK","❌ NG"))</f>
        <v/>
      </c>
      <c r="D5" s="18">
        <f>IF(入力シート!G12="","－",IF(入力シート!I12&gt;=0.03,"✅ OK","❌ NG"))</f>
        <v/>
      </c>
      <c r="E5" s="18">
        <f>IF(入力シート!H8="","⚠️ 未確認",IF(入力シート!H8="あり","✅ OK","❌ NG"))</f>
        <v/>
      </c>
      <c r="F5" s="18">
        <f>IF(入力シート!J12="","⚠️ 未確認",IF(入力シート!J12=0,"✅ OK","❌ NG"))</f>
        <v/>
      </c>
      <c r="G5" s="18">
        <f>IF(入力シート!H7="","⚠️ 未確認","✅ OK")</f>
        <v/>
      </c>
      <c r="H5" s="19">
        <f>IF(入力シート!B12="","",IF(AND(C5="✅ OK",D5="✅ OK",E5="✅ OK",F5="✅ OK",G5="✅ OK"),"✅ 申請可","⚠️ 要確認"))</f>
        <v/>
      </c>
      <c r="I5" s="20">
        <f>IF(入力シート!B12="","",IF(入力シート!H5="大企業",IF(入力シート!C12="派遣",570000,IF(入力シート!C12="有期契約",425000,215000)),IF(入力シート!C12="派遣",720000,IF(入力シート!C12="有期契約",570000,285000))))</f>
        <v/>
      </c>
      <c r="J5" s="21">
        <f>IF(入力シート!E12="","",EDATE(入力シート!E12,6))</f>
        <v/>
      </c>
      <c r="K5" s="21">
        <f>IF(入力シート!E12="","",EDATE(入力シート!E12,8))</f>
        <v/>
      </c>
      <c r="L5" s="22" t="n"/>
    </row>
    <row r="6" ht="18" customHeight="1">
      <c r="A6" s="10">
        <f>入力シート!A13</f>
        <v/>
      </c>
      <c r="B6" s="17">
        <f>入力シート!B13</f>
        <v/>
      </c>
      <c r="C6" s="18">
        <f>IF(入力シート!D13="","－",IF(入力シート!F13&gt;=180,"✅ OK","❌ NG"))</f>
        <v/>
      </c>
      <c r="D6" s="18">
        <f>IF(入力シート!G13="","－",IF(入力シート!I13&gt;=0.03,"✅ OK","❌ NG"))</f>
        <v/>
      </c>
      <c r="E6" s="18">
        <f>IF(入力シート!H8="","⚠️ 未確認",IF(入力シート!H8="あり","✅ OK","❌ NG"))</f>
        <v/>
      </c>
      <c r="F6" s="18">
        <f>IF(入力シート!J13="","⚠️ 未確認",IF(入力シート!J13=0,"✅ OK","❌ NG"))</f>
        <v/>
      </c>
      <c r="G6" s="18">
        <f>IF(入力シート!H7="","⚠️ 未確認","✅ OK")</f>
        <v/>
      </c>
      <c r="H6" s="19">
        <f>IF(入力シート!B13="","",IF(AND(C6="✅ OK",D6="✅ OK",E6="✅ OK",F6="✅ OK",G6="✅ OK"),"✅ 申請可","⚠️ 要確認"))</f>
        <v/>
      </c>
      <c r="I6" s="20">
        <f>IF(入力シート!B13="","",IF(入力シート!H5="大企業",IF(入力シート!C13="派遣",570000,IF(入力シート!C13="有期契約",425000,215000)),IF(入力シート!C13="派遣",720000,IF(入力シート!C13="有期契約",570000,285000))))</f>
        <v/>
      </c>
      <c r="J6" s="21">
        <f>IF(入力シート!E13="","",EDATE(入力シート!E13,6))</f>
        <v/>
      </c>
      <c r="K6" s="21">
        <f>IF(入力シート!E13="","",EDATE(入力シート!E13,8))</f>
        <v/>
      </c>
      <c r="L6" s="22" t="n"/>
    </row>
    <row r="7" ht="18" customHeight="1">
      <c r="A7" s="10">
        <f>入力シート!A14</f>
        <v/>
      </c>
      <c r="B7" s="17">
        <f>入力シート!B14</f>
        <v/>
      </c>
      <c r="C7" s="18">
        <f>IF(入力シート!D14="","－",IF(入力シート!F14&gt;=180,"✅ OK","❌ NG"))</f>
        <v/>
      </c>
      <c r="D7" s="18">
        <f>IF(入力シート!G14="","－",IF(入力シート!I14&gt;=0.03,"✅ OK","❌ NG"))</f>
        <v/>
      </c>
      <c r="E7" s="18">
        <f>IF(入力シート!H8="","⚠️ 未確認",IF(入力シート!H8="あり","✅ OK","❌ NG"))</f>
        <v/>
      </c>
      <c r="F7" s="18">
        <f>IF(入力シート!J14="","⚠️ 未確認",IF(入力シート!J14=0,"✅ OK","❌ NG"))</f>
        <v/>
      </c>
      <c r="G7" s="18">
        <f>IF(入力シート!H7="","⚠️ 未確認","✅ OK")</f>
        <v/>
      </c>
      <c r="H7" s="19">
        <f>IF(入力シート!B14="","",IF(AND(C7="✅ OK",D7="✅ OK",E7="✅ OK",F7="✅ OK",G7="✅ OK"),"✅ 申請可","⚠️ 要確認"))</f>
        <v/>
      </c>
      <c r="I7" s="20">
        <f>IF(入力シート!B14="","",IF(入力シート!H5="大企業",IF(入力シート!C14="派遣",570000,IF(入力シート!C14="有期契約",425000,215000)),IF(入力シート!C14="派遣",720000,IF(入力シート!C14="有期契約",570000,285000))))</f>
        <v/>
      </c>
      <c r="J7" s="21">
        <f>IF(入力シート!E14="","",EDATE(入力シート!E14,6))</f>
        <v/>
      </c>
      <c r="K7" s="21">
        <f>IF(入力シート!E14="","",EDATE(入力シート!E14,8))</f>
        <v/>
      </c>
      <c r="L7" s="22" t="n"/>
    </row>
    <row r="8" ht="18" customHeight="1">
      <c r="A8" s="10">
        <f>入力シート!A15</f>
        <v/>
      </c>
      <c r="B8" s="17">
        <f>入力シート!B15</f>
        <v/>
      </c>
      <c r="C8" s="18">
        <f>IF(入力シート!D15="","－",IF(入力シート!F15&gt;=180,"✅ OK","❌ NG"))</f>
        <v/>
      </c>
      <c r="D8" s="18">
        <f>IF(入力シート!G15="","－",IF(入力シート!I15&gt;=0.03,"✅ OK","❌ NG"))</f>
        <v/>
      </c>
      <c r="E8" s="18">
        <f>IF(入力シート!H8="","⚠️ 未確認",IF(入力シート!H8="あり","✅ OK","❌ NG"))</f>
        <v/>
      </c>
      <c r="F8" s="18">
        <f>IF(入力シート!J15="","⚠️ 未確認",IF(入力シート!J15=0,"✅ OK","❌ NG"))</f>
        <v/>
      </c>
      <c r="G8" s="18">
        <f>IF(入力シート!H7="","⚠️ 未確認","✅ OK")</f>
        <v/>
      </c>
      <c r="H8" s="19">
        <f>IF(入力シート!B15="","",IF(AND(C8="✅ OK",D8="✅ OK",E8="✅ OK",F8="✅ OK",G8="✅ OK"),"✅ 申請可","⚠️ 要確認"))</f>
        <v/>
      </c>
      <c r="I8" s="20">
        <f>IF(入力シート!B15="","",IF(入力シート!H5="大企業",IF(入力シート!C15="派遣",570000,IF(入力シート!C15="有期契約",425000,215000)),IF(入力シート!C15="派遣",720000,IF(入力シート!C15="有期契約",570000,285000))))</f>
        <v/>
      </c>
      <c r="J8" s="21">
        <f>IF(入力シート!E15="","",EDATE(入力シート!E15,6))</f>
        <v/>
      </c>
      <c r="K8" s="21">
        <f>IF(入力シート!E15="","",EDATE(入力シート!E15,8))</f>
        <v/>
      </c>
      <c r="L8" s="22" t="n"/>
    </row>
    <row r="9" ht="18" customHeight="1">
      <c r="A9" s="10">
        <f>入力シート!A16</f>
        <v/>
      </c>
      <c r="B9" s="17">
        <f>入力シート!B16</f>
        <v/>
      </c>
      <c r="C9" s="18">
        <f>IF(入力シート!D16="","－",IF(入力シート!F16&gt;=180,"✅ OK","❌ NG"))</f>
        <v/>
      </c>
      <c r="D9" s="18">
        <f>IF(入力シート!G16="","－",IF(入力シート!I16&gt;=0.03,"✅ OK","❌ NG"))</f>
        <v/>
      </c>
      <c r="E9" s="18">
        <f>IF(入力シート!H8="","⚠️ 未確認",IF(入力シート!H8="あり","✅ OK","❌ NG"))</f>
        <v/>
      </c>
      <c r="F9" s="18">
        <f>IF(入力シート!J16="","⚠️ 未確認",IF(入力シート!J16=0,"✅ OK","❌ NG"))</f>
        <v/>
      </c>
      <c r="G9" s="18">
        <f>IF(入力シート!H7="","⚠️ 未確認","✅ OK")</f>
        <v/>
      </c>
      <c r="H9" s="19">
        <f>IF(入力シート!B16="","",IF(AND(C9="✅ OK",D9="✅ OK",E9="✅ OK",F9="✅ OK",G9="✅ OK"),"✅ 申請可","⚠️ 要確認"))</f>
        <v/>
      </c>
      <c r="I9" s="20">
        <f>IF(入力シート!B16="","",IF(入力シート!H5="大企業",IF(入力シート!C16="派遣",570000,IF(入力シート!C16="有期契約",425000,215000)),IF(入力シート!C16="派遣",720000,IF(入力シート!C16="有期契約",570000,285000))))</f>
        <v/>
      </c>
      <c r="J9" s="21">
        <f>IF(入力シート!E16="","",EDATE(入力シート!E16,6))</f>
        <v/>
      </c>
      <c r="K9" s="21">
        <f>IF(入力シート!E16="","",EDATE(入力シート!E16,8))</f>
        <v/>
      </c>
      <c r="L9" s="22" t="n"/>
    </row>
    <row r="10" ht="18" customHeight="1">
      <c r="A10" s="10">
        <f>入力シート!A17</f>
        <v/>
      </c>
      <c r="B10" s="17">
        <f>入力シート!B17</f>
        <v/>
      </c>
      <c r="C10" s="18">
        <f>IF(入力シート!D17="","－",IF(入力シート!F17&gt;=180,"✅ OK","❌ NG"))</f>
        <v/>
      </c>
      <c r="D10" s="18">
        <f>IF(入力シート!G17="","－",IF(入力シート!I17&gt;=0.03,"✅ OK","❌ NG"))</f>
        <v/>
      </c>
      <c r="E10" s="18">
        <f>IF(入力シート!H8="","⚠️ 未確認",IF(入力シート!H8="あり","✅ OK","❌ NG"))</f>
        <v/>
      </c>
      <c r="F10" s="18">
        <f>IF(入力シート!J17="","⚠️ 未確認",IF(入力シート!J17=0,"✅ OK","❌ NG"))</f>
        <v/>
      </c>
      <c r="G10" s="18">
        <f>IF(入力シート!H7="","⚠️ 未確認","✅ OK")</f>
        <v/>
      </c>
      <c r="H10" s="19">
        <f>IF(入力シート!B17="","",IF(AND(C10="✅ OK",D10="✅ OK",E10="✅ OK",F10="✅ OK",G10="✅ OK"),"✅ 申請可","⚠️ 要確認"))</f>
        <v/>
      </c>
      <c r="I10" s="20">
        <f>IF(入力シート!B17="","",IF(入力シート!H5="大企業",IF(入力シート!C17="派遣",570000,IF(入力シート!C17="有期契約",425000,215000)),IF(入力シート!C17="派遣",720000,IF(入力シート!C17="有期契約",570000,285000))))</f>
        <v/>
      </c>
      <c r="J10" s="21">
        <f>IF(入力シート!E17="","",EDATE(入力シート!E17,6))</f>
        <v/>
      </c>
      <c r="K10" s="21">
        <f>IF(入力シート!E17="","",EDATE(入力シート!E17,8))</f>
        <v/>
      </c>
      <c r="L10" s="22" t="n"/>
    </row>
    <row r="11" ht="18" customHeight="1">
      <c r="A11" s="10">
        <f>入力シート!A18</f>
        <v/>
      </c>
      <c r="B11" s="17">
        <f>入力シート!B18</f>
        <v/>
      </c>
      <c r="C11" s="18">
        <f>IF(入力シート!D18="","－",IF(入力シート!F18&gt;=180,"✅ OK","❌ NG"))</f>
        <v/>
      </c>
      <c r="D11" s="18">
        <f>IF(入力シート!G18="","－",IF(入力シート!I18&gt;=0.03,"✅ OK","❌ NG"))</f>
        <v/>
      </c>
      <c r="E11" s="18">
        <f>IF(入力シート!H8="","⚠️ 未確認",IF(入力シート!H8="あり","✅ OK","❌ NG"))</f>
        <v/>
      </c>
      <c r="F11" s="18">
        <f>IF(入力シート!J18="","⚠️ 未確認",IF(入力シート!J18=0,"✅ OK","❌ NG"))</f>
        <v/>
      </c>
      <c r="G11" s="18">
        <f>IF(入力シート!H7="","⚠️ 未確認","✅ OK")</f>
        <v/>
      </c>
      <c r="H11" s="19">
        <f>IF(入力シート!B18="","",IF(AND(C11="✅ OK",D11="✅ OK",E11="✅ OK",F11="✅ OK",G11="✅ OK"),"✅ 申請可","⚠️ 要確認"))</f>
        <v/>
      </c>
      <c r="I11" s="20">
        <f>IF(入力シート!B18="","",IF(入力シート!H5="大企業",IF(入力シート!C18="派遣",570000,IF(入力シート!C18="有期契約",425000,215000)),IF(入力シート!C18="派遣",720000,IF(入力シート!C18="有期契約",570000,285000))))</f>
        <v/>
      </c>
      <c r="J11" s="21">
        <f>IF(入力シート!E18="","",EDATE(入力シート!E18,6))</f>
        <v/>
      </c>
      <c r="K11" s="21">
        <f>IF(入力シート!E18="","",EDATE(入力シート!E18,8))</f>
        <v/>
      </c>
      <c r="L11" s="22" t="n"/>
    </row>
    <row r="12" ht="18" customHeight="1">
      <c r="A12" s="10">
        <f>入力シート!A19</f>
        <v/>
      </c>
      <c r="B12" s="17">
        <f>入力シート!B19</f>
        <v/>
      </c>
      <c r="C12" s="18">
        <f>IF(入力シート!D19="","－",IF(入力シート!F19&gt;=180,"✅ OK","❌ NG"))</f>
        <v/>
      </c>
      <c r="D12" s="18">
        <f>IF(入力シート!G19="","－",IF(入力シート!I19&gt;=0.03,"✅ OK","❌ NG"))</f>
        <v/>
      </c>
      <c r="E12" s="18">
        <f>IF(入力シート!H8="","⚠️ 未確認",IF(入力シート!H8="あり","✅ OK","❌ NG"))</f>
        <v/>
      </c>
      <c r="F12" s="18">
        <f>IF(入力シート!J19="","⚠️ 未確認",IF(入力シート!J19=0,"✅ OK","❌ NG"))</f>
        <v/>
      </c>
      <c r="G12" s="18">
        <f>IF(入力シート!H7="","⚠️ 未確認","✅ OK")</f>
        <v/>
      </c>
      <c r="H12" s="19">
        <f>IF(入力シート!B19="","",IF(AND(C12="✅ OK",D12="✅ OK",E12="✅ OK",F12="✅ OK",G12="✅ OK"),"✅ 申請可","⚠️ 要確認"))</f>
        <v/>
      </c>
      <c r="I12" s="20">
        <f>IF(入力シート!B19="","",IF(入力シート!H5="大企業",IF(入力シート!C19="派遣",570000,IF(入力シート!C19="有期契約",425000,215000)),IF(入力シート!C19="派遣",720000,IF(入力シート!C19="有期契約",570000,285000))))</f>
        <v/>
      </c>
      <c r="J12" s="21">
        <f>IF(入力シート!E19="","",EDATE(入力シート!E19,6))</f>
        <v/>
      </c>
      <c r="K12" s="21">
        <f>IF(入力シート!E19="","",EDATE(入力シート!E19,8))</f>
        <v/>
      </c>
      <c r="L12" s="22" t="n"/>
    </row>
    <row r="13" ht="18" customHeight="1">
      <c r="A13" s="10">
        <f>入力シート!A20</f>
        <v/>
      </c>
      <c r="B13" s="17">
        <f>入力シート!B20</f>
        <v/>
      </c>
      <c r="C13" s="18">
        <f>IF(入力シート!D20="","－",IF(入力シート!F20&gt;=180,"✅ OK","❌ NG"))</f>
        <v/>
      </c>
      <c r="D13" s="18">
        <f>IF(入力シート!G20="","－",IF(入力シート!I20&gt;=0.03,"✅ OK","❌ NG"))</f>
        <v/>
      </c>
      <c r="E13" s="18">
        <f>IF(入力シート!H8="","⚠️ 未確認",IF(入力シート!H8="あり","✅ OK","❌ NG"))</f>
        <v/>
      </c>
      <c r="F13" s="18">
        <f>IF(入力シート!J20="","⚠️ 未確認",IF(入力シート!J20=0,"✅ OK","❌ NG"))</f>
        <v/>
      </c>
      <c r="G13" s="18">
        <f>IF(入力シート!H7="","⚠️ 未確認","✅ OK")</f>
        <v/>
      </c>
      <c r="H13" s="19">
        <f>IF(入力シート!B20="","",IF(AND(C13="✅ OK",D13="✅ OK",E13="✅ OK",F13="✅ OK",G13="✅ OK"),"✅ 申請可","⚠️ 要確認"))</f>
        <v/>
      </c>
      <c r="I13" s="20">
        <f>IF(入力シート!B20="","",IF(入力シート!H5="大企業",IF(入力シート!C20="派遣",570000,IF(入力シート!C20="有期契約",425000,215000)),IF(入力シート!C20="派遣",720000,IF(入力シート!C20="有期契約",570000,285000))))</f>
        <v/>
      </c>
      <c r="J13" s="21">
        <f>IF(入力シート!E20="","",EDATE(入力シート!E20,6))</f>
        <v/>
      </c>
      <c r="K13" s="21">
        <f>IF(入力シート!E20="","",EDATE(入力シート!E20,8))</f>
        <v/>
      </c>
      <c r="L13" s="22" t="n"/>
    </row>
    <row r="14" ht="18" customHeight="1">
      <c r="A14" s="10">
        <f>入力シート!A21</f>
        <v/>
      </c>
      <c r="B14" s="17">
        <f>入力シート!B21</f>
        <v/>
      </c>
      <c r="C14" s="18">
        <f>IF(入力シート!D21="","－",IF(入力シート!F21&gt;=180,"✅ OK","❌ NG"))</f>
        <v/>
      </c>
      <c r="D14" s="18">
        <f>IF(入力シート!G21="","－",IF(入力シート!I21&gt;=0.03,"✅ OK","❌ NG"))</f>
        <v/>
      </c>
      <c r="E14" s="18">
        <f>IF(入力シート!H8="","⚠️ 未確認",IF(入力シート!H8="あり","✅ OK","❌ NG"))</f>
        <v/>
      </c>
      <c r="F14" s="18">
        <f>IF(入力シート!J21="","⚠️ 未確認",IF(入力シート!J21=0,"✅ OK","❌ NG"))</f>
        <v/>
      </c>
      <c r="G14" s="18">
        <f>IF(入力シート!H7="","⚠️ 未確認","✅ OK")</f>
        <v/>
      </c>
      <c r="H14" s="19">
        <f>IF(入力シート!B21="","",IF(AND(C14="✅ OK",D14="✅ OK",E14="✅ OK",F14="✅ OK",G14="✅ OK"),"✅ 申請可","⚠️ 要確認"))</f>
        <v/>
      </c>
      <c r="I14" s="20">
        <f>IF(入力シート!B21="","",IF(入力シート!H5="大企業",IF(入力シート!C21="派遣",570000,IF(入力シート!C21="有期契約",425000,215000)),IF(入力シート!C21="派遣",720000,IF(入力シート!C21="有期契約",570000,285000))))</f>
        <v/>
      </c>
      <c r="J14" s="21">
        <f>IF(入力シート!E21="","",EDATE(入力シート!E21,6))</f>
        <v/>
      </c>
      <c r="K14" s="21">
        <f>IF(入力シート!E21="","",EDATE(入力シート!E21,8))</f>
        <v/>
      </c>
      <c r="L14" s="22" t="n"/>
    </row>
    <row r="15" ht="18" customHeight="1">
      <c r="A15" s="10">
        <f>入力シート!A22</f>
        <v/>
      </c>
      <c r="B15" s="17">
        <f>入力シート!B22</f>
        <v/>
      </c>
      <c r="C15" s="18">
        <f>IF(入力シート!D22="","－",IF(入力シート!F22&gt;=180,"✅ OK","❌ NG"))</f>
        <v/>
      </c>
      <c r="D15" s="18">
        <f>IF(入力シート!G22="","－",IF(入力シート!I22&gt;=0.03,"✅ OK","❌ NG"))</f>
        <v/>
      </c>
      <c r="E15" s="18">
        <f>IF(入力シート!H8="","⚠️ 未確認",IF(入力シート!H8="あり","✅ OK","❌ NG"))</f>
        <v/>
      </c>
      <c r="F15" s="18">
        <f>IF(入力シート!J22="","⚠️ 未確認",IF(入力シート!J22=0,"✅ OK","❌ NG"))</f>
        <v/>
      </c>
      <c r="G15" s="18">
        <f>IF(入力シート!H7="","⚠️ 未確認","✅ OK")</f>
        <v/>
      </c>
      <c r="H15" s="19">
        <f>IF(入力シート!B22="","",IF(AND(C15="✅ OK",D15="✅ OK",E15="✅ OK",F15="✅ OK",G15="✅ OK"),"✅ 申請可","⚠️ 要確認"))</f>
        <v/>
      </c>
      <c r="I15" s="20">
        <f>IF(入力シート!B22="","",IF(入力シート!H5="大企業",IF(入力シート!C22="派遣",570000,IF(入力シート!C22="有期契約",425000,215000)),IF(入力シート!C22="派遣",720000,IF(入力シート!C22="有期契約",570000,285000))))</f>
        <v/>
      </c>
      <c r="J15" s="21">
        <f>IF(入力シート!E22="","",EDATE(入力シート!E22,6))</f>
        <v/>
      </c>
      <c r="K15" s="21">
        <f>IF(入力シート!E22="","",EDATE(入力シート!E22,8))</f>
        <v/>
      </c>
      <c r="L15" s="22" t="n"/>
    </row>
    <row r="16" ht="18" customHeight="1">
      <c r="A16" s="10">
        <f>入力シート!A23</f>
        <v/>
      </c>
      <c r="B16" s="17">
        <f>入力シート!B23</f>
        <v/>
      </c>
      <c r="C16" s="18">
        <f>IF(入力シート!D23="","－",IF(入力シート!F23&gt;=180,"✅ OK","❌ NG"))</f>
        <v/>
      </c>
      <c r="D16" s="18">
        <f>IF(入力シート!G23="","－",IF(入力シート!I23&gt;=0.03,"✅ OK","❌ NG"))</f>
        <v/>
      </c>
      <c r="E16" s="18">
        <f>IF(入力シート!H8="","⚠️ 未確認",IF(入力シート!H8="あり","✅ OK","❌ NG"))</f>
        <v/>
      </c>
      <c r="F16" s="18">
        <f>IF(入力シート!J23="","⚠️ 未確認",IF(入力シート!J23=0,"✅ OK","❌ NG"))</f>
        <v/>
      </c>
      <c r="G16" s="18">
        <f>IF(入力シート!H7="","⚠️ 未確認","✅ OK")</f>
        <v/>
      </c>
      <c r="H16" s="19">
        <f>IF(入力シート!B23="","",IF(AND(C16="✅ OK",D16="✅ OK",E16="✅ OK",F16="✅ OK",G16="✅ OK"),"✅ 申請可","⚠️ 要確認"))</f>
        <v/>
      </c>
      <c r="I16" s="20">
        <f>IF(入力シート!B23="","",IF(入力シート!H5="大企業",IF(入力シート!C23="派遣",570000,IF(入力シート!C23="有期契約",425000,215000)),IF(入力シート!C23="派遣",720000,IF(入力シート!C23="有期契約",570000,285000))))</f>
        <v/>
      </c>
      <c r="J16" s="21">
        <f>IF(入力シート!E23="","",EDATE(入力シート!E23,6))</f>
        <v/>
      </c>
      <c r="K16" s="21">
        <f>IF(入力シート!E23="","",EDATE(入力シート!E23,8))</f>
        <v/>
      </c>
      <c r="L16" s="22" t="n"/>
    </row>
    <row r="17" ht="18" customHeight="1">
      <c r="A17" s="10">
        <f>入力シート!A24</f>
        <v/>
      </c>
      <c r="B17" s="17">
        <f>入力シート!B24</f>
        <v/>
      </c>
      <c r="C17" s="18">
        <f>IF(入力シート!D24="","－",IF(入力シート!F24&gt;=180,"✅ OK","❌ NG"))</f>
        <v/>
      </c>
      <c r="D17" s="18">
        <f>IF(入力シート!G24="","－",IF(入力シート!I24&gt;=0.03,"✅ OK","❌ NG"))</f>
        <v/>
      </c>
      <c r="E17" s="18">
        <f>IF(入力シート!H8="","⚠️ 未確認",IF(入力シート!H8="あり","✅ OK","❌ NG"))</f>
        <v/>
      </c>
      <c r="F17" s="18">
        <f>IF(入力シート!J24="","⚠️ 未確認",IF(入力シート!J24=0,"✅ OK","❌ NG"))</f>
        <v/>
      </c>
      <c r="G17" s="18">
        <f>IF(入力シート!H7="","⚠️ 未確認","✅ OK")</f>
        <v/>
      </c>
      <c r="H17" s="19">
        <f>IF(入力シート!B24="","",IF(AND(C17="✅ OK",D17="✅ OK",E17="✅ OK",F17="✅ OK",G17="✅ OK"),"✅ 申請可","⚠️ 要確認"))</f>
        <v/>
      </c>
      <c r="I17" s="20">
        <f>IF(入力シート!B24="","",IF(入力シート!H5="大企業",IF(入力シート!C24="派遣",570000,IF(入力シート!C24="有期契約",425000,215000)),IF(入力シート!C24="派遣",720000,IF(入力シート!C24="有期契約",570000,285000))))</f>
        <v/>
      </c>
      <c r="J17" s="21">
        <f>IF(入力シート!E24="","",EDATE(入力シート!E24,6))</f>
        <v/>
      </c>
      <c r="K17" s="21">
        <f>IF(入力シート!E24="","",EDATE(入力シート!E24,8))</f>
        <v/>
      </c>
      <c r="L17" s="22" t="n"/>
    </row>
    <row r="18" ht="18" customHeight="1">
      <c r="A18" s="10">
        <f>入力シート!A25</f>
        <v/>
      </c>
      <c r="B18" s="17">
        <f>入力シート!B25</f>
        <v/>
      </c>
      <c r="C18" s="18">
        <f>IF(入力シート!D25="","－",IF(入力シート!F25&gt;=180,"✅ OK","❌ NG"))</f>
        <v/>
      </c>
      <c r="D18" s="18">
        <f>IF(入力シート!G25="","－",IF(入力シート!I25&gt;=0.03,"✅ OK","❌ NG"))</f>
        <v/>
      </c>
      <c r="E18" s="18">
        <f>IF(入力シート!H8="","⚠️ 未確認",IF(入力シート!H8="あり","✅ OK","❌ NG"))</f>
        <v/>
      </c>
      <c r="F18" s="18">
        <f>IF(入力シート!J25="","⚠️ 未確認",IF(入力シート!J25=0,"✅ OK","❌ NG"))</f>
        <v/>
      </c>
      <c r="G18" s="18">
        <f>IF(入力シート!H7="","⚠️ 未確認","✅ OK")</f>
        <v/>
      </c>
      <c r="H18" s="19">
        <f>IF(入力シート!B25="","",IF(AND(C18="✅ OK",D18="✅ OK",E18="✅ OK",F18="✅ OK",G18="✅ OK"),"✅ 申請可","⚠️ 要確認"))</f>
        <v/>
      </c>
      <c r="I18" s="20">
        <f>IF(入力シート!B25="","",IF(入力シート!H5="大企業",IF(入力シート!C25="派遣",570000,IF(入力シート!C25="有期契約",425000,215000)),IF(入力シート!C25="派遣",720000,IF(入力シート!C25="有期契約",570000,285000))))</f>
        <v/>
      </c>
      <c r="J18" s="21">
        <f>IF(入力シート!E25="","",EDATE(入力シート!E25,6))</f>
        <v/>
      </c>
      <c r="K18" s="21">
        <f>IF(入力シート!E25="","",EDATE(入力シート!E25,8))</f>
        <v/>
      </c>
      <c r="L18" s="22" t="n"/>
    </row>
    <row r="19" ht="18" customHeight="1">
      <c r="A19" s="10">
        <f>入力シート!A26</f>
        <v/>
      </c>
      <c r="B19" s="17">
        <f>入力シート!B26</f>
        <v/>
      </c>
      <c r="C19" s="18">
        <f>IF(入力シート!D26="","－",IF(入力シート!F26&gt;=180,"✅ OK","❌ NG"))</f>
        <v/>
      </c>
      <c r="D19" s="18">
        <f>IF(入力シート!G26="","－",IF(入力シート!I26&gt;=0.03,"✅ OK","❌ NG"))</f>
        <v/>
      </c>
      <c r="E19" s="18">
        <f>IF(入力シート!H8="","⚠️ 未確認",IF(入力シート!H8="あり","✅ OK","❌ NG"))</f>
        <v/>
      </c>
      <c r="F19" s="18">
        <f>IF(入力シート!J26="","⚠️ 未確認",IF(入力シート!J26=0,"✅ OK","❌ NG"))</f>
        <v/>
      </c>
      <c r="G19" s="18">
        <f>IF(入力シート!H7="","⚠️ 未確認","✅ OK")</f>
        <v/>
      </c>
      <c r="H19" s="19">
        <f>IF(入力シート!B26="","",IF(AND(C19="✅ OK",D19="✅ OK",E19="✅ OK",F19="✅ OK",G19="✅ OK"),"✅ 申請可","⚠️ 要確認"))</f>
        <v/>
      </c>
      <c r="I19" s="20">
        <f>IF(入力シート!B26="","",IF(入力シート!H5="大企業",IF(入力シート!C26="派遣",570000,IF(入力シート!C26="有期契約",425000,215000)),IF(入力シート!C26="派遣",720000,IF(入力シート!C26="有期契約",570000,285000))))</f>
        <v/>
      </c>
      <c r="J19" s="21">
        <f>IF(入力シート!E26="","",EDATE(入力シート!E26,6))</f>
        <v/>
      </c>
      <c r="K19" s="21">
        <f>IF(入力シート!E26="","",EDATE(入力シート!E26,8))</f>
        <v/>
      </c>
      <c r="L19" s="22" t="n"/>
    </row>
    <row r="20" ht="18" customHeight="1">
      <c r="A20" s="10">
        <f>入力シート!A27</f>
        <v/>
      </c>
      <c r="B20" s="17">
        <f>入力シート!B27</f>
        <v/>
      </c>
      <c r="C20" s="18">
        <f>IF(入力シート!D27="","－",IF(入力シート!F27&gt;=180,"✅ OK","❌ NG"))</f>
        <v/>
      </c>
      <c r="D20" s="18">
        <f>IF(入力シート!G27="","－",IF(入力シート!I27&gt;=0.03,"✅ OK","❌ NG"))</f>
        <v/>
      </c>
      <c r="E20" s="18">
        <f>IF(入力シート!H8="","⚠️ 未確認",IF(入力シート!H8="あり","✅ OK","❌ NG"))</f>
        <v/>
      </c>
      <c r="F20" s="18">
        <f>IF(入力シート!J27="","⚠️ 未確認",IF(入力シート!J27=0,"✅ OK","❌ NG"))</f>
        <v/>
      </c>
      <c r="G20" s="18">
        <f>IF(入力シート!H7="","⚠️ 未確認","✅ OK")</f>
        <v/>
      </c>
      <c r="H20" s="19">
        <f>IF(入力シート!B27="","",IF(AND(C20="✅ OK",D20="✅ OK",E20="✅ OK",F20="✅ OK",G20="✅ OK"),"✅ 申請可","⚠️ 要確認"))</f>
        <v/>
      </c>
      <c r="I20" s="20">
        <f>IF(入力シート!B27="","",IF(入力シート!H5="大企業",IF(入力シート!C27="派遣",570000,IF(入力シート!C27="有期契約",425000,215000)),IF(入力シート!C27="派遣",720000,IF(入力シート!C27="有期契約",570000,285000))))</f>
        <v/>
      </c>
      <c r="J20" s="21">
        <f>IF(入力シート!E27="","",EDATE(入力シート!E27,6))</f>
        <v/>
      </c>
      <c r="K20" s="21">
        <f>IF(入力シート!E27="","",EDATE(入力シート!E27,8))</f>
        <v/>
      </c>
      <c r="L20" s="22" t="n"/>
    </row>
    <row r="21" ht="18" customHeight="1">
      <c r="A21" s="10">
        <f>入力シート!A28</f>
        <v/>
      </c>
      <c r="B21" s="17">
        <f>入力シート!B28</f>
        <v/>
      </c>
      <c r="C21" s="18">
        <f>IF(入力シート!D28="","－",IF(入力シート!F28&gt;=180,"✅ OK","❌ NG"))</f>
        <v/>
      </c>
      <c r="D21" s="18">
        <f>IF(入力シート!G28="","－",IF(入力シート!I28&gt;=0.03,"✅ OK","❌ NG"))</f>
        <v/>
      </c>
      <c r="E21" s="18">
        <f>IF(入力シート!H8="","⚠️ 未確認",IF(入力シート!H8="あり","✅ OK","❌ NG"))</f>
        <v/>
      </c>
      <c r="F21" s="18">
        <f>IF(入力シート!J28="","⚠️ 未確認",IF(入力シート!J28=0,"✅ OK","❌ NG"))</f>
        <v/>
      </c>
      <c r="G21" s="18">
        <f>IF(入力シート!H7="","⚠️ 未確認","✅ OK")</f>
        <v/>
      </c>
      <c r="H21" s="19">
        <f>IF(入力シート!B28="","",IF(AND(C21="✅ OK",D21="✅ OK",E21="✅ OK",F21="✅ OK",G21="✅ OK"),"✅ 申請可","⚠️ 要確認"))</f>
        <v/>
      </c>
      <c r="I21" s="20">
        <f>IF(入力シート!B28="","",IF(入力シート!H5="大企業",IF(入力シート!C28="派遣",570000,IF(入力シート!C28="有期契約",425000,215000)),IF(入力シート!C28="派遣",720000,IF(入力シート!C28="有期契約",570000,285000))))</f>
        <v/>
      </c>
      <c r="J21" s="21">
        <f>IF(入力シート!E28="","",EDATE(入力シート!E28,6))</f>
        <v/>
      </c>
      <c r="K21" s="21">
        <f>IF(入力シート!E28="","",EDATE(入力シート!E28,8))</f>
        <v/>
      </c>
      <c r="L21" s="22" t="n"/>
    </row>
    <row r="22" ht="18" customHeight="1">
      <c r="A22" s="10">
        <f>入力シート!A29</f>
        <v/>
      </c>
      <c r="B22" s="17">
        <f>入力シート!B29</f>
        <v/>
      </c>
      <c r="C22" s="18">
        <f>IF(入力シート!D29="","－",IF(入力シート!F29&gt;=180,"✅ OK","❌ NG"))</f>
        <v/>
      </c>
      <c r="D22" s="18">
        <f>IF(入力シート!G29="","－",IF(入力シート!I29&gt;=0.03,"✅ OK","❌ NG"))</f>
        <v/>
      </c>
      <c r="E22" s="18">
        <f>IF(入力シート!H8="","⚠️ 未確認",IF(入力シート!H8="あり","✅ OK","❌ NG"))</f>
        <v/>
      </c>
      <c r="F22" s="18">
        <f>IF(入力シート!J29="","⚠️ 未確認",IF(入力シート!J29=0,"✅ OK","❌ NG"))</f>
        <v/>
      </c>
      <c r="G22" s="18">
        <f>IF(入力シート!H7="","⚠️ 未確認","✅ OK")</f>
        <v/>
      </c>
      <c r="H22" s="19">
        <f>IF(入力シート!B29="","",IF(AND(C22="✅ OK",D22="✅ OK",E22="✅ OK",F22="✅ OK",G22="✅ OK"),"✅ 申請可","⚠️ 要確認"))</f>
        <v/>
      </c>
      <c r="I22" s="20">
        <f>IF(入力シート!B29="","",IF(入力シート!H5="大企業",IF(入力シート!C29="派遣",570000,IF(入力シート!C29="有期契約",425000,215000)),IF(入力シート!C29="派遣",720000,IF(入力シート!C29="有期契約",570000,285000))))</f>
        <v/>
      </c>
      <c r="J22" s="21">
        <f>IF(入力シート!E29="","",EDATE(入力シート!E29,6))</f>
        <v/>
      </c>
      <c r="K22" s="21">
        <f>IF(入力シート!E29="","",EDATE(入力シート!E29,8))</f>
        <v/>
      </c>
      <c r="L22" s="22" t="n"/>
    </row>
    <row r="23" ht="18" customHeight="1">
      <c r="A23" s="10">
        <f>入力シート!A30</f>
        <v/>
      </c>
      <c r="B23" s="17">
        <f>入力シート!B30</f>
        <v/>
      </c>
      <c r="C23" s="18">
        <f>IF(入力シート!D30="","－",IF(入力シート!F30&gt;=180,"✅ OK","❌ NG"))</f>
        <v/>
      </c>
      <c r="D23" s="18">
        <f>IF(入力シート!G30="","－",IF(入力シート!I30&gt;=0.03,"✅ OK","❌ NG"))</f>
        <v/>
      </c>
      <c r="E23" s="18">
        <f>IF(入力シート!H8="","⚠️ 未確認",IF(入力シート!H8="あり","✅ OK","❌ NG"))</f>
        <v/>
      </c>
      <c r="F23" s="18">
        <f>IF(入力シート!J30="","⚠️ 未確認",IF(入力シート!J30=0,"✅ OK","❌ NG"))</f>
        <v/>
      </c>
      <c r="G23" s="18">
        <f>IF(入力シート!H7="","⚠️ 未確認","✅ OK")</f>
        <v/>
      </c>
      <c r="H23" s="19">
        <f>IF(入力シート!B30="","",IF(AND(C23="✅ OK",D23="✅ OK",E23="✅ OK",F23="✅ OK",G23="✅ OK"),"✅ 申請可","⚠️ 要確認"))</f>
        <v/>
      </c>
      <c r="I23" s="20">
        <f>IF(入力シート!B30="","",IF(入力シート!H5="大企業",IF(入力シート!C30="派遣",570000,IF(入力シート!C30="有期契約",425000,215000)),IF(入力シート!C30="派遣",720000,IF(入力シート!C30="有期契約",570000,285000))))</f>
        <v/>
      </c>
      <c r="J23" s="21">
        <f>IF(入力シート!E30="","",EDATE(入力シート!E30,6))</f>
        <v/>
      </c>
      <c r="K23" s="21">
        <f>IF(入力シート!E30="","",EDATE(入力シート!E30,8))</f>
        <v/>
      </c>
      <c r="L23" s="22" t="n"/>
    </row>
    <row r="24" ht="18" customHeight="1">
      <c r="A24" s="10">
        <f>入力シート!A31</f>
        <v/>
      </c>
      <c r="B24" s="17">
        <f>入力シート!B31</f>
        <v/>
      </c>
      <c r="C24" s="18">
        <f>IF(入力シート!D31="","－",IF(入力シート!F31&gt;=180,"✅ OK","❌ NG"))</f>
        <v/>
      </c>
      <c r="D24" s="18">
        <f>IF(入力シート!G31="","－",IF(入力シート!I31&gt;=0.03,"✅ OK","❌ NG"))</f>
        <v/>
      </c>
      <c r="E24" s="18">
        <f>IF(入力シート!H8="","⚠️ 未確認",IF(入力シート!H8="あり","✅ OK","❌ NG"))</f>
        <v/>
      </c>
      <c r="F24" s="18">
        <f>IF(入力シート!J31="","⚠️ 未確認",IF(入力シート!J31=0,"✅ OK","❌ NG"))</f>
        <v/>
      </c>
      <c r="G24" s="18">
        <f>IF(入力シート!H7="","⚠️ 未確認","✅ OK")</f>
        <v/>
      </c>
      <c r="H24" s="19">
        <f>IF(入力シート!B31="","",IF(AND(C24="✅ OK",D24="✅ OK",E24="✅ OK",F24="✅ OK",G24="✅ OK"),"✅ 申請可","⚠️ 要確認"))</f>
        <v/>
      </c>
      <c r="I24" s="20">
        <f>IF(入力シート!B31="","",IF(入力シート!H5="大企業",IF(入力シート!C31="派遣",570000,IF(入力シート!C31="有期契約",425000,215000)),IF(入力シート!C31="派遣",720000,IF(入力シート!C31="有期契約",570000,285000))))</f>
        <v/>
      </c>
      <c r="J24" s="21">
        <f>IF(入力シート!E31="","",EDATE(入力シート!E31,6))</f>
        <v/>
      </c>
      <c r="K24" s="21">
        <f>IF(入力シート!E31="","",EDATE(入力シート!E31,8))</f>
        <v/>
      </c>
      <c r="L24" s="22" t="n"/>
    </row>
  </sheetData>
  <mergeCells count="2">
    <mergeCell ref="A2:L2"/>
    <mergeCell ref="A1:L1"/>
  </mergeCells>
  <conditionalFormatting sqref="H5:H24">
    <cfRule type="expression" priority="1" dxfId="0">
      <formula>H5="✅ 申請可"</formula>
    </cfRule>
    <cfRule type="expression" priority="2" dxfId="2">
      <formula>H5="⚠️ 要確認"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</cols>
  <sheetData>
    <row r="1" ht="30" customHeight="1">
      <c r="A1" s="23" t="inlineStr">
        <is>
          <t>キャリアアップ助成金（正社員化コース）要件一覧【参照用】</t>
        </is>
      </c>
    </row>
    <row r="3" ht="22" customHeight="1">
      <c r="A3" s="24" t="inlineStr">
        <is>
          <t>【事前要件】転換前に確認</t>
        </is>
      </c>
    </row>
    <row r="4" ht="18" customHeight="1">
      <c r="A4" s="17" t="inlineStr"/>
      <c r="B4" s="25" t="inlineStr">
        <is>
          <t>キャリアアップ計画</t>
        </is>
      </c>
      <c r="C4" s="26" t="inlineStr">
        <is>
          <t>転換日の前日までに労働局へ提出・受理が必要</t>
        </is>
      </c>
    </row>
    <row r="5" ht="18" customHeight="1">
      <c r="A5" s="17" t="inlineStr"/>
      <c r="B5" s="25" t="inlineStr">
        <is>
          <t>就業規則の転換規定</t>
        </is>
      </c>
      <c r="C5" s="26" t="inlineStr">
        <is>
          <t>正社員転換を規定した条文が必要（転換日前に届出済みであること）</t>
        </is>
      </c>
    </row>
    <row r="6" ht="18" customHeight="1">
      <c r="A6" s="17" t="inlineStr"/>
      <c r="B6" s="25" t="inlineStr">
        <is>
          <t>雇用形態</t>
        </is>
      </c>
      <c r="C6" s="26" t="inlineStr">
        <is>
          <t>有期契約・無期契約・派遣社員が対象</t>
        </is>
      </c>
    </row>
    <row r="7" ht="18" customHeight="1">
      <c r="A7" s="17" t="inlineStr"/>
      <c r="B7" s="25" t="inlineStr">
        <is>
          <t>雇用期間</t>
        </is>
      </c>
      <c r="C7" s="26" t="inlineStr">
        <is>
          <t>転換前に同一事業所で6ヶ月以上継続雇用されていること</t>
        </is>
      </c>
    </row>
    <row r="8" ht="18" customHeight="1">
      <c r="A8" s="17" t="inlineStr"/>
      <c r="B8" s="25" t="inlineStr">
        <is>
          <t>会社都合離職者</t>
        </is>
      </c>
      <c r="C8" s="26" t="inlineStr">
        <is>
          <t>転換日の前日から過去6ヶ月以内に特定受給資格者となる離職者がいないこと</t>
        </is>
      </c>
    </row>
    <row r="9" ht="18" customHeight="1">
      <c r="A9" s="17" t="inlineStr"/>
      <c r="B9" s="25" t="inlineStr">
        <is>
          <t>雇用保険</t>
        </is>
      </c>
      <c r="C9" s="26" t="inlineStr">
        <is>
          <t>雇用保険適用事業所であること</t>
        </is>
      </c>
    </row>
    <row r="11" ht="22" customHeight="1">
      <c r="A11" s="24" t="inlineStr">
        <is>
          <t>【転換時の要件】</t>
        </is>
      </c>
    </row>
    <row r="12" ht="18" customHeight="1">
      <c r="A12" s="17" t="inlineStr"/>
      <c r="B12" s="25" t="inlineStr">
        <is>
          <t>転換後の雇用形態</t>
        </is>
      </c>
      <c r="C12" s="26" t="inlineStr">
        <is>
          <t>無期・フルタイムの正規雇用労働者であること</t>
        </is>
      </c>
    </row>
    <row r="13" ht="18" customHeight="1">
      <c r="A13" s="17" t="inlineStr"/>
      <c r="B13" s="25" t="inlineStr">
        <is>
          <t>賃金の増額</t>
        </is>
      </c>
      <c r="C13" s="26" t="inlineStr">
        <is>
          <t>転換前と比較して3%以上の賃金増額が必要</t>
        </is>
      </c>
    </row>
    <row r="14" ht="18" customHeight="1">
      <c r="A14" s="17" t="inlineStr"/>
      <c r="B14" s="25" t="inlineStr">
        <is>
          <t>転換根拠</t>
        </is>
      </c>
      <c r="C14" s="26" t="inlineStr">
        <is>
          <t>就業規則に基づく転換であること</t>
        </is>
      </c>
    </row>
    <row r="16" ht="22" customHeight="1">
      <c r="A16" s="24" t="inlineStr">
        <is>
          <t>【申請時の要件】</t>
        </is>
      </c>
    </row>
    <row r="17" ht="18" customHeight="1">
      <c r="A17" s="17" t="inlineStr"/>
      <c r="B17" s="25" t="inlineStr">
        <is>
          <t>支給申請期限</t>
        </is>
      </c>
      <c r="C17" s="26" t="inlineStr">
        <is>
          <t>転換日から6ヶ月後の翌日〜8ヶ月後の末日（2ヶ月間）</t>
        </is>
      </c>
    </row>
    <row r="18" ht="18" customHeight="1">
      <c r="A18" s="17" t="inlineStr"/>
      <c r="B18" s="25" t="inlineStr">
        <is>
          <t>賃金支払い</t>
        </is>
      </c>
      <c r="C18" s="26" t="inlineStr">
        <is>
          <t>転換後6ヶ月分の賃金を支払い済みであること</t>
        </is>
      </c>
    </row>
    <row r="19" ht="18" customHeight="1">
      <c r="A19" s="17" t="inlineStr"/>
      <c r="B19" s="25" t="inlineStr">
        <is>
          <t>添付書類</t>
        </is>
      </c>
      <c r="C19" s="26" t="inlineStr">
        <is>
          <t>雇用契約書、賃金台帳、転換前後の出勤簿、就業規則など</t>
        </is>
      </c>
    </row>
    <row r="21" ht="22" customHeight="1">
      <c r="A21" s="24" t="inlineStr">
        <is>
          <t>【助成額（2024年度）】</t>
        </is>
      </c>
    </row>
    <row r="22" ht="18" customHeight="1">
      <c r="A22" s="17" t="inlineStr"/>
      <c r="B22" s="25" t="inlineStr">
        <is>
          <t>有期→正規（中小企業）</t>
        </is>
      </c>
      <c r="C22" s="26" t="inlineStr">
        <is>
          <t>57万円／人（年間上限20人）</t>
        </is>
      </c>
    </row>
    <row r="23" ht="18" customHeight="1">
      <c r="A23" s="17" t="inlineStr"/>
      <c r="B23" s="25" t="inlineStr">
        <is>
          <t>有期→正規（大企業）</t>
        </is>
      </c>
      <c r="C23" s="26" t="inlineStr">
        <is>
          <t>42.5万円／人</t>
        </is>
      </c>
    </row>
    <row r="24" ht="18" customHeight="1">
      <c r="A24" s="17" t="inlineStr"/>
      <c r="B24" s="25" t="inlineStr">
        <is>
          <t>無期→正規（中小企業）</t>
        </is>
      </c>
      <c r="C24" s="26" t="inlineStr">
        <is>
          <t>28.5万円／人</t>
        </is>
      </c>
    </row>
    <row r="25" ht="18" customHeight="1">
      <c r="A25" s="17" t="inlineStr"/>
      <c r="B25" s="25" t="inlineStr">
        <is>
          <t>無期→正規（大企業）</t>
        </is>
      </c>
      <c r="C25" s="26" t="inlineStr">
        <is>
          <t>21.5万円／人</t>
        </is>
      </c>
    </row>
    <row r="26" ht="18" customHeight="1">
      <c r="A26" s="17" t="inlineStr"/>
      <c r="B26" s="25" t="inlineStr">
        <is>
          <t>派遣→正規（中小企業）</t>
        </is>
      </c>
      <c r="C26" s="26" t="inlineStr">
        <is>
          <t>72万円／人</t>
        </is>
      </c>
    </row>
    <row r="27" ht="18" customHeight="1">
      <c r="A27" s="17" t="inlineStr"/>
      <c r="B27" s="25" t="inlineStr">
        <is>
          <t>派遣→正規（大企業）</t>
        </is>
      </c>
      <c r="C27" s="26" t="inlineStr">
        <is>
          <t>57万円／人</t>
        </is>
      </c>
    </row>
    <row r="29">
      <c r="A29" s="27" t="inlineStr">
        <is>
          <t>※ 要件・助成額は法改正により変更となる場合があります。必ず最新の厚労省資料をご確認ください。</t>
        </is>
      </c>
    </row>
  </sheetData>
  <mergeCells count="6">
    <mergeCell ref="A1:D1"/>
    <mergeCell ref="A11:C11"/>
    <mergeCell ref="A3:C3"/>
    <mergeCell ref="A21:C21"/>
    <mergeCell ref="A29:C29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2026-05-18T08:39:54Z</dcterms:created>
  <dcterms:modified xsi:type="dcterms:W3CDTF">2026-05-18T08:39:54Z</dcterms:modified>
</cp:coreProperties>
</file>