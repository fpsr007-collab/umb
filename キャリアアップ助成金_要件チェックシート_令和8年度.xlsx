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シート" sheetId="1" state="visible" r:id="rId1"/>
    <sheet name="判定結果" sheetId="2" state="visible" r:id="rId2"/>
    <sheet name="要件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#,##0円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9"/>
      <sz val="9"/>
    </font>
    <font>
      <b val="1"/>
      <color rgb="001F4E79"/>
      <sz val="11"/>
    </font>
    <font>
      <b val="1"/>
      <color rgb="001F4E79"/>
      <sz val="10"/>
    </font>
    <font>
      <color rgb="00000000"/>
      <sz val="10"/>
    </font>
    <font>
      <b val="1"/>
      <color rgb="00FFFFFF"/>
      <sz val="9"/>
    </font>
    <font>
      <color rgb="009C0006"/>
      <sz val="8"/>
    </font>
    <font>
      <b val="1"/>
      <color rgb="00000000"/>
      <sz val="10"/>
    </font>
    <font>
      <color rgb="009C0006"/>
      <sz val="9"/>
    </font>
    <font>
      <color rgb="00FF0000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F8F8F8"/>
        <bgColor rgb="00F8F8F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3" customWidth="1" min="5" max="5"/>
    <col width="13" customWidth="1" min="6" max="6"/>
    <col width="10" customWidth="1" min="7" max="7"/>
    <col width="13" customWidth="1" min="8" max="8"/>
    <col width="13" customWidth="1" min="9" max="9"/>
    <col width="10" customWidth="1" min="10" max="10"/>
    <col width="12" customWidth="1" min="11" max="11"/>
    <col width="18" customWidth="1" min="12" max="12"/>
  </cols>
  <sheetData>
    <row r="1" ht="32" customHeight="1">
      <c r="A1" s="1" t="inlineStr">
        <is>
          <t>キャリアアップ助成金（正社員化コース）要件チェックシート　令和8年度（2026年度）版</t>
        </is>
      </c>
    </row>
    <row r="2" ht="18" customHeight="1">
      <c r="A2" s="2" t="inlineStr">
        <is>
          <t>※黄色セルに入力してください　　灰色セルは自動計算のため変更不要</t>
        </is>
      </c>
    </row>
    <row r="3" ht="8" customHeight="1"/>
    <row r="4" ht="20" customHeight="1">
      <c r="A4" s="3" t="inlineStr">
        <is>
          <t>【企業情報】</t>
        </is>
      </c>
    </row>
    <row r="5" ht="20" customHeight="1">
      <c r="A5" s="4" t="inlineStr">
        <is>
          <t>事業所名</t>
        </is>
      </c>
      <c r="D5" s="5" t="n"/>
      <c r="E5" s="4" t="inlineStr">
        <is>
          <t>企業規模</t>
        </is>
      </c>
      <c r="H5" s="5" t="n"/>
    </row>
    <row r="6" ht="20" customHeight="1">
      <c r="A6" s="4" t="inlineStr">
        <is>
          <t>事業所番号（雇用保険）</t>
        </is>
      </c>
      <c r="D6" s="5" t="n"/>
      <c r="E6" s="4" t="inlineStr">
        <is>
          <t>キャリアアップ計画　提出日</t>
        </is>
      </c>
      <c r="H6" s="6" t="n"/>
    </row>
    <row r="7" ht="20" customHeight="1">
      <c r="A7" s="4" t="inlineStr">
        <is>
          <t>所在地</t>
        </is>
      </c>
      <c r="D7" s="5" t="n"/>
      <c r="E7" s="4" t="inlineStr">
        <is>
          <t>キャリアアップ計画　受理日</t>
        </is>
      </c>
      <c r="H7" s="6" t="n"/>
    </row>
    <row r="8" ht="20" customHeight="1">
      <c r="A8" s="4" t="inlineStr">
        <is>
          <t>担当社労士</t>
        </is>
      </c>
      <c r="D8" s="5" t="n"/>
      <c r="E8" s="4" t="inlineStr">
        <is>
          <t>就業規則　転換規定</t>
        </is>
      </c>
      <c r="H8" s="5" t="n"/>
    </row>
    <row r="9" ht="20" customHeight="1">
      <c r="A9" s="4" t="inlineStr"/>
      <c r="D9" s="5" t="n"/>
      <c r="E9" s="7" t="inlineStr">
        <is>
          <t>情報公表（令和8年度新設）</t>
        </is>
      </c>
      <c r="H9" s="8" t="n"/>
    </row>
    <row r="10" ht="8" customHeight="1"/>
    <row r="11" ht="20" customHeight="1">
      <c r="A11" s="3" t="inlineStr">
        <is>
          <t>【対象者情報】</t>
        </is>
      </c>
    </row>
    <row r="12" ht="45" customHeight="1">
      <c r="A12" s="9" t="inlineStr">
        <is>
          <t>No.</t>
        </is>
      </c>
      <c r="B12" s="9" t="inlineStr">
        <is>
          <t>対象者氏名</t>
        </is>
      </c>
      <c r="C12" s="9" t="inlineStr">
        <is>
          <t>雇用形態</t>
        </is>
      </c>
      <c r="D12" s="9" t="inlineStr">
        <is>
          <t>重点支援
対象者
※</t>
        </is>
      </c>
      <c r="E12" s="9" t="inlineStr">
        <is>
          <t>雇用開始日</t>
        </is>
      </c>
      <c r="F12" s="9" t="inlineStr">
        <is>
          <t>転換日</t>
        </is>
      </c>
      <c r="G12" s="9" t="inlineStr">
        <is>
          <t>雇用期間
(日数)
自動</t>
        </is>
      </c>
      <c r="H12" s="9" t="inlineStr">
        <is>
          <t>転換前賃金
(月額)</t>
        </is>
      </c>
      <c r="I12" s="9" t="inlineStr">
        <is>
          <t>転換後賃金
(月額)</t>
        </is>
      </c>
      <c r="J12" s="9" t="inlineStr">
        <is>
          <t>賃金UP率
自動</t>
        </is>
      </c>
      <c r="K12" s="9" t="inlineStr">
        <is>
          <t>会社都合
離職者数
(過去6ヶ月)</t>
        </is>
      </c>
      <c r="L12" s="9" t="inlineStr">
        <is>
          <t>備考</t>
        </is>
      </c>
    </row>
    <row r="13" ht="14" customHeight="1">
      <c r="A13" s="10" t="inlineStr">
        <is>
          <t>※ 重点支援対象者: 派遣労働者・雇入れ3年以上の有期労働者・過去5年間で正規雇用1年以下かつ過去1年間正規未就労の有期労働者 など　派遣は自動的に「はい」</t>
        </is>
      </c>
    </row>
    <row r="14" ht="18" customHeight="1">
      <c r="A14" s="11" t="n">
        <v>1</v>
      </c>
      <c r="B14" s="5" t="n"/>
      <c r="C14" s="12" t="n"/>
      <c r="D14" s="12">
        <f>IF(C14="派遣","はい","")</f>
        <v/>
      </c>
      <c r="E14" s="13" t="n"/>
      <c r="F14" s="13" t="n"/>
      <c r="G14" s="14">
        <f>IF(AND(E14&lt;&gt;"",F14&lt;&gt;""),F14-E14,"")</f>
        <v/>
      </c>
      <c r="H14" s="15" t="n"/>
      <c r="I14" s="15" t="n"/>
      <c r="J14" s="16">
        <f>IF(AND(H14&lt;&gt;"",I14&lt;&gt;"",H14&gt;0),(I14-H14)/H14,"")</f>
        <v/>
      </c>
      <c r="K14" s="17" t="n"/>
      <c r="L14" s="5" t="n"/>
    </row>
    <row r="15" ht="18" customHeight="1">
      <c r="A15" s="11" t="n">
        <v>2</v>
      </c>
      <c r="B15" s="5" t="n"/>
      <c r="C15" s="12" t="n"/>
      <c r="D15" s="12">
        <f>IF(C15="派遣","はい","")</f>
        <v/>
      </c>
      <c r="E15" s="13" t="n"/>
      <c r="F15" s="13" t="n"/>
      <c r="G15" s="14">
        <f>IF(AND(E15&lt;&gt;"",F15&lt;&gt;""),F15-E15,"")</f>
        <v/>
      </c>
      <c r="H15" s="15" t="n"/>
      <c r="I15" s="15" t="n"/>
      <c r="J15" s="16">
        <f>IF(AND(H15&lt;&gt;"",I15&lt;&gt;"",H15&gt;0),(I15-H15)/H15,"")</f>
        <v/>
      </c>
      <c r="K15" s="17" t="n"/>
      <c r="L15" s="5" t="n"/>
    </row>
    <row r="16" ht="18" customHeight="1">
      <c r="A16" s="11" t="n">
        <v>3</v>
      </c>
      <c r="B16" s="5" t="n"/>
      <c r="C16" s="12" t="n"/>
      <c r="D16" s="12">
        <f>IF(C16="派遣","はい","")</f>
        <v/>
      </c>
      <c r="E16" s="13" t="n"/>
      <c r="F16" s="13" t="n"/>
      <c r="G16" s="14">
        <f>IF(AND(E16&lt;&gt;"",F16&lt;&gt;""),F16-E16,"")</f>
        <v/>
      </c>
      <c r="H16" s="15" t="n"/>
      <c r="I16" s="15" t="n"/>
      <c r="J16" s="16">
        <f>IF(AND(H16&lt;&gt;"",I16&lt;&gt;"",H16&gt;0),(I16-H16)/H16,"")</f>
        <v/>
      </c>
      <c r="K16" s="17" t="n"/>
      <c r="L16" s="5" t="n"/>
    </row>
    <row r="17" ht="18" customHeight="1">
      <c r="A17" s="11" t="n">
        <v>4</v>
      </c>
      <c r="B17" s="5" t="n"/>
      <c r="C17" s="12" t="n"/>
      <c r="D17" s="12">
        <f>IF(C17="派遣","はい","")</f>
        <v/>
      </c>
      <c r="E17" s="13" t="n"/>
      <c r="F17" s="13" t="n"/>
      <c r="G17" s="14">
        <f>IF(AND(E17&lt;&gt;"",F17&lt;&gt;""),F17-E17,"")</f>
        <v/>
      </c>
      <c r="H17" s="15" t="n"/>
      <c r="I17" s="15" t="n"/>
      <c r="J17" s="16">
        <f>IF(AND(H17&lt;&gt;"",I17&lt;&gt;"",H17&gt;0),(I17-H17)/H17,"")</f>
        <v/>
      </c>
      <c r="K17" s="17" t="n"/>
      <c r="L17" s="5" t="n"/>
    </row>
    <row r="18" ht="18" customHeight="1">
      <c r="A18" s="11" t="n">
        <v>5</v>
      </c>
      <c r="B18" s="5" t="n"/>
      <c r="C18" s="12" t="n"/>
      <c r="D18" s="12">
        <f>IF(C18="派遣","はい","")</f>
        <v/>
      </c>
      <c r="E18" s="13" t="n"/>
      <c r="F18" s="13" t="n"/>
      <c r="G18" s="14">
        <f>IF(AND(E18&lt;&gt;"",F18&lt;&gt;""),F18-E18,"")</f>
        <v/>
      </c>
      <c r="H18" s="15" t="n"/>
      <c r="I18" s="15" t="n"/>
      <c r="J18" s="16">
        <f>IF(AND(H18&lt;&gt;"",I18&lt;&gt;"",H18&gt;0),(I18-H18)/H18,"")</f>
        <v/>
      </c>
      <c r="K18" s="17" t="n"/>
      <c r="L18" s="5" t="n"/>
    </row>
    <row r="19" ht="18" customHeight="1">
      <c r="A19" s="11" t="n">
        <v>6</v>
      </c>
      <c r="B19" s="5" t="n"/>
      <c r="C19" s="12" t="n"/>
      <c r="D19" s="12">
        <f>IF(C19="派遣","はい","")</f>
        <v/>
      </c>
      <c r="E19" s="13" t="n"/>
      <c r="F19" s="13" t="n"/>
      <c r="G19" s="14">
        <f>IF(AND(E19&lt;&gt;"",F19&lt;&gt;""),F19-E19,"")</f>
        <v/>
      </c>
      <c r="H19" s="15" t="n"/>
      <c r="I19" s="15" t="n"/>
      <c r="J19" s="16">
        <f>IF(AND(H19&lt;&gt;"",I19&lt;&gt;"",H19&gt;0),(I19-H19)/H19,"")</f>
        <v/>
      </c>
      <c r="K19" s="17" t="n"/>
      <c r="L19" s="5" t="n"/>
    </row>
    <row r="20" ht="18" customHeight="1">
      <c r="A20" s="11" t="n">
        <v>7</v>
      </c>
      <c r="B20" s="5" t="n"/>
      <c r="C20" s="12" t="n"/>
      <c r="D20" s="12">
        <f>IF(C20="派遣","はい","")</f>
        <v/>
      </c>
      <c r="E20" s="13" t="n"/>
      <c r="F20" s="13" t="n"/>
      <c r="G20" s="14">
        <f>IF(AND(E20&lt;&gt;"",F20&lt;&gt;""),F20-E20,"")</f>
        <v/>
      </c>
      <c r="H20" s="15" t="n"/>
      <c r="I20" s="15" t="n"/>
      <c r="J20" s="16">
        <f>IF(AND(H20&lt;&gt;"",I20&lt;&gt;"",H20&gt;0),(I20-H20)/H20,"")</f>
        <v/>
      </c>
      <c r="K20" s="17" t="n"/>
      <c r="L20" s="5" t="n"/>
    </row>
    <row r="21" ht="18" customHeight="1">
      <c r="A21" s="11" t="n">
        <v>8</v>
      </c>
      <c r="B21" s="5" t="n"/>
      <c r="C21" s="12" t="n"/>
      <c r="D21" s="12">
        <f>IF(C21="派遣","はい","")</f>
        <v/>
      </c>
      <c r="E21" s="13" t="n"/>
      <c r="F21" s="13" t="n"/>
      <c r="G21" s="14">
        <f>IF(AND(E21&lt;&gt;"",F21&lt;&gt;""),F21-E21,"")</f>
        <v/>
      </c>
      <c r="H21" s="15" t="n"/>
      <c r="I21" s="15" t="n"/>
      <c r="J21" s="16">
        <f>IF(AND(H21&lt;&gt;"",I21&lt;&gt;"",H21&gt;0),(I21-H21)/H21,"")</f>
        <v/>
      </c>
      <c r="K21" s="17" t="n"/>
      <c r="L21" s="5" t="n"/>
    </row>
    <row r="22" ht="18" customHeight="1">
      <c r="A22" s="11" t="n">
        <v>9</v>
      </c>
      <c r="B22" s="5" t="n"/>
      <c r="C22" s="12" t="n"/>
      <c r="D22" s="12">
        <f>IF(C22="派遣","はい","")</f>
        <v/>
      </c>
      <c r="E22" s="13" t="n"/>
      <c r="F22" s="13" t="n"/>
      <c r="G22" s="14">
        <f>IF(AND(E22&lt;&gt;"",F22&lt;&gt;""),F22-E22,"")</f>
        <v/>
      </c>
      <c r="H22" s="15" t="n"/>
      <c r="I22" s="15" t="n"/>
      <c r="J22" s="16">
        <f>IF(AND(H22&lt;&gt;"",I22&lt;&gt;"",H22&gt;0),(I22-H22)/H22,"")</f>
        <v/>
      </c>
      <c r="K22" s="17" t="n"/>
      <c r="L22" s="5" t="n"/>
    </row>
    <row r="23" ht="18" customHeight="1">
      <c r="A23" s="11" t="n">
        <v>10</v>
      </c>
      <c r="B23" s="5" t="n"/>
      <c r="C23" s="12" t="n"/>
      <c r="D23" s="12">
        <f>IF(C23="派遣","はい","")</f>
        <v/>
      </c>
      <c r="E23" s="13" t="n"/>
      <c r="F23" s="13" t="n"/>
      <c r="G23" s="14">
        <f>IF(AND(E23&lt;&gt;"",F23&lt;&gt;""),F23-E23,"")</f>
        <v/>
      </c>
      <c r="H23" s="15" t="n"/>
      <c r="I23" s="15" t="n"/>
      <c r="J23" s="16">
        <f>IF(AND(H23&lt;&gt;"",I23&lt;&gt;"",H23&gt;0),(I23-H23)/H23,"")</f>
        <v/>
      </c>
      <c r="K23" s="17" t="n"/>
      <c r="L23" s="5" t="n"/>
    </row>
    <row r="24" ht="18" customHeight="1">
      <c r="A24" s="11" t="n">
        <v>11</v>
      </c>
      <c r="B24" s="5" t="n"/>
      <c r="C24" s="12" t="n"/>
      <c r="D24" s="12">
        <f>IF(C24="派遣","はい","")</f>
        <v/>
      </c>
      <c r="E24" s="13" t="n"/>
      <c r="F24" s="13" t="n"/>
      <c r="G24" s="14">
        <f>IF(AND(E24&lt;&gt;"",F24&lt;&gt;""),F24-E24,"")</f>
        <v/>
      </c>
      <c r="H24" s="15" t="n"/>
      <c r="I24" s="15" t="n"/>
      <c r="J24" s="16">
        <f>IF(AND(H24&lt;&gt;"",I24&lt;&gt;"",H24&gt;0),(I24-H24)/H24,"")</f>
        <v/>
      </c>
      <c r="K24" s="17" t="n"/>
      <c r="L24" s="5" t="n"/>
    </row>
    <row r="25" ht="18" customHeight="1">
      <c r="A25" s="11" t="n">
        <v>12</v>
      </c>
      <c r="B25" s="5" t="n"/>
      <c r="C25" s="12" t="n"/>
      <c r="D25" s="12">
        <f>IF(C25="派遣","はい","")</f>
        <v/>
      </c>
      <c r="E25" s="13" t="n"/>
      <c r="F25" s="13" t="n"/>
      <c r="G25" s="14">
        <f>IF(AND(E25&lt;&gt;"",F25&lt;&gt;""),F25-E25,"")</f>
        <v/>
      </c>
      <c r="H25" s="15" t="n"/>
      <c r="I25" s="15" t="n"/>
      <c r="J25" s="16">
        <f>IF(AND(H25&lt;&gt;"",I25&lt;&gt;"",H25&gt;0),(I25-H25)/H25,"")</f>
        <v/>
      </c>
      <c r="K25" s="17" t="n"/>
      <c r="L25" s="5" t="n"/>
    </row>
    <row r="26" ht="18" customHeight="1">
      <c r="A26" s="11" t="n">
        <v>13</v>
      </c>
      <c r="B26" s="5" t="n"/>
      <c r="C26" s="12" t="n"/>
      <c r="D26" s="12">
        <f>IF(C26="派遣","はい","")</f>
        <v/>
      </c>
      <c r="E26" s="13" t="n"/>
      <c r="F26" s="13" t="n"/>
      <c r="G26" s="14">
        <f>IF(AND(E26&lt;&gt;"",F26&lt;&gt;""),F26-E26,"")</f>
        <v/>
      </c>
      <c r="H26" s="15" t="n"/>
      <c r="I26" s="15" t="n"/>
      <c r="J26" s="16">
        <f>IF(AND(H26&lt;&gt;"",I26&lt;&gt;"",H26&gt;0),(I26-H26)/H26,"")</f>
        <v/>
      </c>
      <c r="K26" s="17" t="n"/>
      <c r="L26" s="5" t="n"/>
    </row>
    <row r="27" ht="18" customHeight="1">
      <c r="A27" s="11" t="n">
        <v>14</v>
      </c>
      <c r="B27" s="5" t="n"/>
      <c r="C27" s="12" t="n"/>
      <c r="D27" s="12">
        <f>IF(C27="派遣","はい","")</f>
        <v/>
      </c>
      <c r="E27" s="13" t="n"/>
      <c r="F27" s="13" t="n"/>
      <c r="G27" s="14">
        <f>IF(AND(E27&lt;&gt;"",F27&lt;&gt;""),F27-E27,"")</f>
        <v/>
      </c>
      <c r="H27" s="15" t="n"/>
      <c r="I27" s="15" t="n"/>
      <c r="J27" s="16">
        <f>IF(AND(H27&lt;&gt;"",I27&lt;&gt;"",H27&gt;0),(I27-H27)/H27,"")</f>
        <v/>
      </c>
      <c r="K27" s="17" t="n"/>
      <c r="L27" s="5" t="n"/>
    </row>
    <row r="28" ht="18" customHeight="1">
      <c r="A28" s="11" t="n">
        <v>15</v>
      </c>
      <c r="B28" s="5" t="n"/>
      <c r="C28" s="12" t="n"/>
      <c r="D28" s="12">
        <f>IF(C28="派遣","はい","")</f>
        <v/>
      </c>
      <c r="E28" s="13" t="n"/>
      <c r="F28" s="13" t="n"/>
      <c r="G28" s="14">
        <f>IF(AND(E28&lt;&gt;"",F28&lt;&gt;""),F28-E28,"")</f>
        <v/>
      </c>
      <c r="H28" s="15" t="n"/>
      <c r="I28" s="15" t="n"/>
      <c r="J28" s="16">
        <f>IF(AND(H28&lt;&gt;"",I28&lt;&gt;"",H28&gt;0),(I28-H28)/H28,"")</f>
        <v/>
      </c>
      <c r="K28" s="17" t="n"/>
      <c r="L28" s="5" t="n"/>
    </row>
    <row r="29" ht="18" customHeight="1">
      <c r="A29" s="11" t="n">
        <v>16</v>
      </c>
      <c r="B29" s="5" t="n"/>
      <c r="C29" s="12" t="n"/>
      <c r="D29" s="12">
        <f>IF(C29="派遣","はい","")</f>
        <v/>
      </c>
      <c r="E29" s="13" t="n"/>
      <c r="F29" s="13" t="n"/>
      <c r="G29" s="14">
        <f>IF(AND(E29&lt;&gt;"",F29&lt;&gt;""),F29-E29,"")</f>
        <v/>
      </c>
      <c r="H29" s="15" t="n"/>
      <c r="I29" s="15" t="n"/>
      <c r="J29" s="16">
        <f>IF(AND(H29&lt;&gt;"",I29&lt;&gt;"",H29&gt;0),(I29-H29)/H29,"")</f>
        <v/>
      </c>
      <c r="K29" s="17" t="n"/>
      <c r="L29" s="5" t="n"/>
    </row>
    <row r="30" ht="18" customHeight="1">
      <c r="A30" s="11" t="n">
        <v>17</v>
      </c>
      <c r="B30" s="5" t="n"/>
      <c r="C30" s="12" t="n"/>
      <c r="D30" s="12">
        <f>IF(C30="派遣","はい","")</f>
        <v/>
      </c>
      <c r="E30" s="13" t="n"/>
      <c r="F30" s="13" t="n"/>
      <c r="G30" s="14">
        <f>IF(AND(E30&lt;&gt;"",F30&lt;&gt;""),F30-E30,"")</f>
        <v/>
      </c>
      <c r="H30" s="15" t="n"/>
      <c r="I30" s="15" t="n"/>
      <c r="J30" s="16">
        <f>IF(AND(H30&lt;&gt;"",I30&lt;&gt;"",H30&gt;0),(I30-H30)/H30,"")</f>
        <v/>
      </c>
      <c r="K30" s="17" t="n"/>
      <c r="L30" s="5" t="n"/>
    </row>
    <row r="31" ht="18" customHeight="1">
      <c r="A31" s="11" t="n">
        <v>18</v>
      </c>
      <c r="B31" s="5" t="n"/>
      <c r="C31" s="12" t="n"/>
      <c r="D31" s="12">
        <f>IF(C31="派遣","はい","")</f>
        <v/>
      </c>
      <c r="E31" s="13" t="n"/>
      <c r="F31" s="13" t="n"/>
      <c r="G31" s="14">
        <f>IF(AND(E31&lt;&gt;"",F31&lt;&gt;""),F31-E31,"")</f>
        <v/>
      </c>
      <c r="H31" s="15" t="n"/>
      <c r="I31" s="15" t="n"/>
      <c r="J31" s="16">
        <f>IF(AND(H31&lt;&gt;"",I31&lt;&gt;"",H31&gt;0),(I31-H31)/H31,"")</f>
        <v/>
      </c>
      <c r="K31" s="17" t="n"/>
      <c r="L31" s="5" t="n"/>
    </row>
    <row r="32" ht="18" customHeight="1">
      <c r="A32" s="11" t="n">
        <v>19</v>
      </c>
      <c r="B32" s="5" t="n"/>
      <c r="C32" s="12" t="n"/>
      <c r="D32" s="12">
        <f>IF(C32="派遣","はい","")</f>
        <v/>
      </c>
      <c r="E32" s="13" t="n"/>
      <c r="F32" s="13" t="n"/>
      <c r="G32" s="14">
        <f>IF(AND(E32&lt;&gt;"",F32&lt;&gt;""),F32-E32,"")</f>
        <v/>
      </c>
      <c r="H32" s="15" t="n"/>
      <c r="I32" s="15" t="n"/>
      <c r="J32" s="16">
        <f>IF(AND(H32&lt;&gt;"",I32&lt;&gt;"",H32&gt;0),(I32-H32)/H32,"")</f>
        <v/>
      </c>
      <c r="K32" s="17" t="n"/>
      <c r="L32" s="5" t="n"/>
    </row>
    <row r="33" ht="18" customHeight="1">
      <c r="A33" s="11" t="n">
        <v>20</v>
      </c>
      <c r="B33" s="5" t="n"/>
      <c r="C33" s="12" t="n"/>
      <c r="D33" s="12">
        <f>IF(C33="派遣","はい","")</f>
        <v/>
      </c>
      <c r="E33" s="13" t="n"/>
      <c r="F33" s="13" t="n"/>
      <c r="G33" s="14">
        <f>IF(AND(E33&lt;&gt;"",F33&lt;&gt;""),F33-E33,"")</f>
        <v/>
      </c>
      <c r="H33" s="15" t="n"/>
      <c r="I33" s="15" t="n"/>
      <c r="J33" s="16">
        <f>IF(AND(H33&lt;&gt;"",I33&lt;&gt;"",H33&gt;0),(I33-H33)/H33,"")</f>
        <v/>
      </c>
      <c r="K33" s="17" t="n"/>
      <c r="L33" s="5" t="n"/>
    </row>
  </sheetData>
  <mergeCells count="25">
    <mergeCell ref="D9"/>
    <mergeCell ref="D8"/>
    <mergeCell ref="E9:G9"/>
    <mergeCell ref="D5"/>
    <mergeCell ref="E6:G6"/>
    <mergeCell ref="H9:L9"/>
    <mergeCell ref="A2:L2"/>
    <mergeCell ref="A5:C5"/>
    <mergeCell ref="H6:L6"/>
    <mergeCell ref="A8:C8"/>
    <mergeCell ref="E7:G7"/>
    <mergeCell ref="A4:L4"/>
    <mergeCell ref="H7:L7"/>
    <mergeCell ref="D6"/>
    <mergeCell ref="A13:L13"/>
    <mergeCell ref="A9:C9"/>
    <mergeCell ref="E5:G5"/>
    <mergeCell ref="A11:L11"/>
    <mergeCell ref="A1:L1"/>
    <mergeCell ref="A6:C6"/>
    <mergeCell ref="D7"/>
    <mergeCell ref="E8:G8"/>
    <mergeCell ref="H5:L5"/>
    <mergeCell ref="A7:C7"/>
    <mergeCell ref="H8:L8"/>
  </mergeCells>
  <conditionalFormatting sqref="J14:J33">
    <cfRule type="cellIs" priority="1" operator="greaterThanOrEqual" dxfId="0">
      <formula>0.03</formula>
    </cfRule>
    <cfRule type="cellIs" priority="2" operator="lessThan" dxfId="1">
      <formula>0.03</formula>
    </cfRule>
  </conditionalFormatting>
  <conditionalFormatting sqref="G14:G33">
    <cfRule type="cellIs" priority="3" operator="greaterThanOrEqual" dxfId="0">
      <formula>180</formula>
    </cfRule>
    <cfRule type="cellIs" priority="4" operator="lessThan" dxfId="1">
      <formula>180</formula>
    </cfRule>
  </conditionalFormatting>
  <dataValidations count="5">
    <dataValidation sqref="H5" showDropDown="0" showInputMessage="0" showErrorMessage="0" allowBlank="1" type="list">
      <formula1>"中小企業,大企業"</formula1>
    </dataValidation>
    <dataValidation sqref="H8" showDropDown="0" showInputMessage="0" showErrorMessage="0" allowBlank="1" type="list">
      <formula1>"あり,なし,未確認"</formula1>
    </dataValidation>
    <dataValidation sqref="H9" showDropDown="0" showInputMessage="0" showErrorMessage="0" allowBlank="1" type="list">
      <formula1>"あり,なし"</formula1>
    </dataValidation>
    <dataValidation sqref="C14 C15 C16 C17 C18 C19 C20 C21 C22 C23 C24 C25 C26 C27 C28 C29 C30 C31 C32 C33" showDropDown="0" showInputMessage="0" showErrorMessage="0" allowBlank="1" type="list">
      <formula1>"有期契約,無期契約,派遣"</formula1>
    </dataValidation>
    <dataValidation sqref="D14 D15 D16 D17 D18 D19 D20 D21 D22 D23 D24 D25 D26 D27 D28 D29 D30 D31 D32 D33" showDropDown="0" showInputMessage="0" showErrorMessage="0" allowBlank="1" type="list">
      <formula1>"はい,いいえ"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キャリアアップ助成金（正社員化コース）判定結果　令和8年度（2026年度）版</t>
        </is>
      </c>
    </row>
    <row r="2" ht="18" customHeight="1">
      <c r="A2" s="2" t="inlineStr">
        <is>
          <t>※入力シートの値を自動判定します　変更しないでください</t>
        </is>
      </c>
    </row>
    <row r="3" ht="8" customHeight="1"/>
    <row r="4" ht="50" customHeight="1">
      <c r="A4" s="9" t="inlineStr">
        <is>
          <t>No.</t>
        </is>
      </c>
      <c r="B4" s="9" t="inlineStr">
        <is>
          <t>対象者氏名</t>
        </is>
      </c>
      <c r="C4" s="9" t="inlineStr">
        <is>
          <t>雇用期間
(6ヶ月以上)</t>
        </is>
      </c>
      <c r="D4" s="9" t="inlineStr">
        <is>
          <t>賃金UP
(3%以上)</t>
        </is>
      </c>
      <c r="E4" s="9" t="inlineStr">
        <is>
          <t>就業規則
転換規定</t>
        </is>
      </c>
      <c r="F4" s="9" t="inlineStr">
        <is>
          <t>会社都合
離職者なし</t>
        </is>
      </c>
      <c r="G4" s="9" t="inlineStr">
        <is>
          <t>計画
受理済み</t>
        </is>
      </c>
      <c r="H4" s="9" t="inlineStr">
        <is>
          <t>総合
判定</t>
        </is>
      </c>
      <c r="I4" s="9" t="inlineStr">
        <is>
          <t>第1期
助成額</t>
        </is>
      </c>
      <c r="J4" s="18" t="inlineStr">
        <is>
          <t>第2期
助成額
(重点支援のみ)</t>
        </is>
      </c>
      <c r="K4" s="18" t="inlineStr">
        <is>
          <t>情報公表
加算
(新設)</t>
        </is>
      </c>
      <c r="L4" s="9" t="inlineStr">
        <is>
          <t>合計
助成見込額</t>
        </is>
      </c>
      <c r="M4" s="9" t="inlineStr">
        <is>
          <t>第1期
申請期限
(開始)</t>
        </is>
      </c>
      <c r="N4" s="9" t="inlineStr">
        <is>
          <t>第1期
申請期限
(終了)</t>
        </is>
      </c>
      <c r="O4" s="9" t="inlineStr">
        <is>
          <t>第2期
申請期限
(開始)</t>
        </is>
      </c>
      <c r="P4" s="9" t="inlineStr">
        <is>
          <t>第2期
申請期限
(終了)</t>
        </is>
      </c>
    </row>
    <row r="5" ht="18" customHeight="1">
      <c r="A5" s="11">
        <f>入力シート!A14</f>
        <v/>
      </c>
      <c r="B5" s="19">
        <f>入力シート!B14</f>
        <v/>
      </c>
      <c r="C5" s="20">
        <f>IF(入力シート!B14="","",IF(入力シート!G14="","－",IF(入力シート!G14&gt;=180,"✅ OK","❌ NG")))</f>
        <v/>
      </c>
      <c r="D5" s="20">
        <f>IF(入力シート!B14="","",IF(入力シート!H14="","－",IF(入力シート!J14&gt;=0.03,"✅ OK","❌ NG")))</f>
        <v/>
      </c>
      <c r="E5" s="20">
        <f>IF(入力シート!H8="","⚠️ 未確認",IF(入力シート!H8="あり","✅ OK","❌ NG"))</f>
        <v/>
      </c>
      <c r="F5" s="20">
        <f>IF(入力シート!B14="","",IF(入力シート!K14="","⚠️ 未確認",IF(入力シート!K14=0,"✅ OK","❌ NG")))</f>
        <v/>
      </c>
      <c r="G5" s="20">
        <f>IF(入力シート!H7="","⚠️ 未確認","✅ OK")</f>
        <v/>
      </c>
      <c r="H5" s="21">
        <f>IF(入力シート!B14="","",IF(AND(C5="✅ OK",D5="✅ OK",E5="✅ OK",F5="✅ OK",G5="✅ OK"),"✅ 申請可","⚠️ 要確認"))</f>
        <v/>
      </c>
      <c r="I5" s="22">
        <f>IF(入力シート!B14="","",IF(入力シート!H5="大企業",IF(入力シート!C14="無期契約",150000,300000),IF(入力シート!C14="無期契約",200000,400000)))</f>
        <v/>
      </c>
      <c r="J5" s="23">
        <f>IF(入力シート!B14="","",IF(OR(入力シート!C14="派遣",入力シート!D14="はい"),IF(入力シート!H5="大企業",IF(入力シート!C14="無期契約",150000,300000),IF(入力シート!C14="無期契約",200000,400000)),0))</f>
        <v/>
      </c>
      <c r="K5" s="23">
        <f>IF(入力シート!B14="","",IF(入力シート!H9="あり",IF(入力シート!H5="大企業",150000,200000),0))</f>
        <v/>
      </c>
      <c r="L5" s="24">
        <f>IF(入力シート!B14="","",I5+J5+K5)</f>
        <v/>
      </c>
      <c r="M5" s="25">
        <f>IF(入力シート!F14="","",EDATE(入力シート!F14,6))</f>
        <v/>
      </c>
      <c r="N5" s="25">
        <f>IF(入力シート!F14="","",EDATE(入力シート!F14,8))</f>
        <v/>
      </c>
      <c r="O5" s="26">
        <f>IF(OR(入力シート!C14="派遣",入力シート!D14="はい"),IF(入力シート!F14="","",EDATE(入力シート!F14,12)),"")</f>
        <v/>
      </c>
      <c r="P5" s="26">
        <f>IF(OR(入力シート!C14="派遣",入力シート!D14="はい"),IF(入力シート!F14="","",EDATE(入力シート!F14,14)),"")</f>
        <v/>
      </c>
    </row>
    <row r="6" ht="18" customHeight="1">
      <c r="A6" s="11">
        <f>入力シート!A15</f>
        <v/>
      </c>
      <c r="B6" s="19">
        <f>入力シート!B15</f>
        <v/>
      </c>
      <c r="C6" s="20">
        <f>IF(入力シート!B15="","",IF(入力シート!G15="","－",IF(入力シート!G15&gt;=180,"✅ OK","❌ NG")))</f>
        <v/>
      </c>
      <c r="D6" s="20">
        <f>IF(入力シート!B15="","",IF(入力シート!H15="","－",IF(入力シート!J15&gt;=0.03,"✅ OK","❌ NG")))</f>
        <v/>
      </c>
      <c r="E6" s="20">
        <f>IF(入力シート!H8="","⚠️ 未確認",IF(入力シート!H8="あり","✅ OK","❌ NG"))</f>
        <v/>
      </c>
      <c r="F6" s="20">
        <f>IF(入力シート!B15="","",IF(入力シート!K15="","⚠️ 未確認",IF(入力シート!K15=0,"✅ OK","❌ NG")))</f>
        <v/>
      </c>
      <c r="G6" s="20">
        <f>IF(入力シート!H7="","⚠️ 未確認","✅ OK")</f>
        <v/>
      </c>
      <c r="H6" s="21">
        <f>IF(入力シート!B15="","",IF(AND(C6="✅ OK",D6="✅ OK",E6="✅ OK",F6="✅ OK",G6="✅ OK"),"✅ 申請可","⚠️ 要確認"))</f>
        <v/>
      </c>
      <c r="I6" s="22">
        <f>IF(入力シート!B15="","",IF(入力シート!H5="大企業",IF(入力シート!C15="無期契約",150000,300000),IF(入力シート!C15="無期契約",200000,400000)))</f>
        <v/>
      </c>
      <c r="J6" s="23">
        <f>IF(入力シート!B15="","",IF(OR(入力シート!C15="派遣",入力シート!D15="はい"),IF(入力シート!H5="大企業",IF(入力シート!C15="無期契約",150000,300000),IF(入力シート!C15="無期契約",200000,400000)),0))</f>
        <v/>
      </c>
      <c r="K6" s="23">
        <f>IF(入力シート!B15="","",IF(入力シート!H9="あり",IF(入力シート!H5="大企業",150000,200000),0))</f>
        <v/>
      </c>
      <c r="L6" s="24">
        <f>IF(入力シート!B15="","",I6+J6+K6)</f>
        <v/>
      </c>
      <c r="M6" s="25">
        <f>IF(入力シート!F15="","",EDATE(入力シート!F15,6))</f>
        <v/>
      </c>
      <c r="N6" s="25">
        <f>IF(入力シート!F15="","",EDATE(入力シート!F15,8))</f>
        <v/>
      </c>
      <c r="O6" s="26">
        <f>IF(OR(入力シート!C15="派遣",入力シート!D15="はい"),IF(入力シート!F15="","",EDATE(入力シート!F15,12)),"")</f>
        <v/>
      </c>
      <c r="P6" s="26">
        <f>IF(OR(入力シート!C15="派遣",入力シート!D15="はい"),IF(入力シート!F15="","",EDATE(入力シート!F15,14)),"")</f>
        <v/>
      </c>
    </row>
    <row r="7" ht="18" customHeight="1">
      <c r="A7" s="11">
        <f>入力シート!A16</f>
        <v/>
      </c>
      <c r="B7" s="19">
        <f>入力シート!B16</f>
        <v/>
      </c>
      <c r="C7" s="20">
        <f>IF(入力シート!B16="","",IF(入力シート!G16="","－",IF(入力シート!G16&gt;=180,"✅ OK","❌ NG")))</f>
        <v/>
      </c>
      <c r="D7" s="20">
        <f>IF(入力シート!B16="","",IF(入力シート!H16="","－",IF(入力シート!J16&gt;=0.03,"✅ OK","❌ NG")))</f>
        <v/>
      </c>
      <c r="E7" s="20">
        <f>IF(入力シート!H8="","⚠️ 未確認",IF(入力シート!H8="あり","✅ OK","❌ NG"))</f>
        <v/>
      </c>
      <c r="F7" s="20">
        <f>IF(入力シート!B16="","",IF(入力シート!K16="","⚠️ 未確認",IF(入力シート!K16=0,"✅ OK","❌ NG")))</f>
        <v/>
      </c>
      <c r="G7" s="20">
        <f>IF(入力シート!H7="","⚠️ 未確認","✅ OK")</f>
        <v/>
      </c>
      <c r="H7" s="21">
        <f>IF(入力シート!B16="","",IF(AND(C7="✅ OK",D7="✅ OK",E7="✅ OK",F7="✅ OK",G7="✅ OK"),"✅ 申請可","⚠️ 要確認"))</f>
        <v/>
      </c>
      <c r="I7" s="22">
        <f>IF(入力シート!B16="","",IF(入力シート!H5="大企業",IF(入力シート!C16="無期契約",150000,300000),IF(入力シート!C16="無期契約",200000,400000)))</f>
        <v/>
      </c>
      <c r="J7" s="23">
        <f>IF(入力シート!B16="","",IF(OR(入力シート!C16="派遣",入力シート!D16="はい"),IF(入力シート!H5="大企業",IF(入力シート!C16="無期契約",150000,300000),IF(入力シート!C16="無期契約",200000,400000)),0))</f>
        <v/>
      </c>
      <c r="K7" s="23">
        <f>IF(入力シート!B16="","",IF(入力シート!H9="あり",IF(入力シート!H5="大企業",150000,200000),0))</f>
        <v/>
      </c>
      <c r="L7" s="24">
        <f>IF(入力シート!B16="","",I7+J7+K7)</f>
        <v/>
      </c>
      <c r="M7" s="25">
        <f>IF(入力シート!F16="","",EDATE(入力シート!F16,6))</f>
        <v/>
      </c>
      <c r="N7" s="25">
        <f>IF(入力シート!F16="","",EDATE(入力シート!F16,8))</f>
        <v/>
      </c>
      <c r="O7" s="26">
        <f>IF(OR(入力シート!C16="派遣",入力シート!D16="はい"),IF(入力シート!F16="","",EDATE(入力シート!F16,12)),"")</f>
        <v/>
      </c>
      <c r="P7" s="26">
        <f>IF(OR(入力シート!C16="派遣",入力シート!D16="はい"),IF(入力シート!F16="","",EDATE(入力シート!F16,14)),"")</f>
        <v/>
      </c>
    </row>
    <row r="8" ht="18" customHeight="1">
      <c r="A8" s="11">
        <f>入力シート!A17</f>
        <v/>
      </c>
      <c r="B8" s="19">
        <f>入力シート!B17</f>
        <v/>
      </c>
      <c r="C8" s="20">
        <f>IF(入力シート!B17="","",IF(入力シート!G17="","－",IF(入力シート!G17&gt;=180,"✅ OK","❌ NG")))</f>
        <v/>
      </c>
      <c r="D8" s="20">
        <f>IF(入力シート!B17="","",IF(入力シート!H17="","－",IF(入力シート!J17&gt;=0.03,"✅ OK","❌ NG")))</f>
        <v/>
      </c>
      <c r="E8" s="20">
        <f>IF(入力シート!H8="","⚠️ 未確認",IF(入力シート!H8="あり","✅ OK","❌ NG"))</f>
        <v/>
      </c>
      <c r="F8" s="20">
        <f>IF(入力シート!B17="","",IF(入力シート!K17="","⚠️ 未確認",IF(入力シート!K17=0,"✅ OK","❌ NG")))</f>
        <v/>
      </c>
      <c r="G8" s="20">
        <f>IF(入力シート!H7="","⚠️ 未確認","✅ OK")</f>
        <v/>
      </c>
      <c r="H8" s="21">
        <f>IF(入力シート!B17="","",IF(AND(C8="✅ OK",D8="✅ OK",E8="✅ OK",F8="✅ OK",G8="✅ OK"),"✅ 申請可","⚠️ 要確認"))</f>
        <v/>
      </c>
      <c r="I8" s="22">
        <f>IF(入力シート!B17="","",IF(入力シート!H5="大企業",IF(入力シート!C17="無期契約",150000,300000),IF(入力シート!C17="無期契約",200000,400000)))</f>
        <v/>
      </c>
      <c r="J8" s="23">
        <f>IF(入力シート!B17="","",IF(OR(入力シート!C17="派遣",入力シート!D17="はい"),IF(入力シート!H5="大企業",IF(入力シート!C17="無期契約",150000,300000),IF(入力シート!C17="無期契約",200000,400000)),0))</f>
        <v/>
      </c>
      <c r="K8" s="23">
        <f>IF(入力シート!B17="","",IF(入力シート!H9="あり",IF(入力シート!H5="大企業",150000,200000),0))</f>
        <v/>
      </c>
      <c r="L8" s="24">
        <f>IF(入力シート!B17="","",I8+J8+K8)</f>
        <v/>
      </c>
      <c r="M8" s="25">
        <f>IF(入力シート!F17="","",EDATE(入力シート!F17,6))</f>
        <v/>
      </c>
      <c r="N8" s="25">
        <f>IF(入力シート!F17="","",EDATE(入力シート!F17,8))</f>
        <v/>
      </c>
      <c r="O8" s="26">
        <f>IF(OR(入力シート!C17="派遣",入力シート!D17="はい"),IF(入力シート!F17="","",EDATE(入力シート!F17,12)),"")</f>
        <v/>
      </c>
      <c r="P8" s="26">
        <f>IF(OR(入力シート!C17="派遣",入力シート!D17="はい"),IF(入力シート!F17="","",EDATE(入力シート!F17,14)),"")</f>
        <v/>
      </c>
    </row>
    <row r="9" ht="18" customHeight="1">
      <c r="A9" s="11">
        <f>入力シート!A18</f>
        <v/>
      </c>
      <c r="B9" s="19">
        <f>入力シート!B18</f>
        <v/>
      </c>
      <c r="C9" s="20">
        <f>IF(入力シート!B18="","",IF(入力シート!G18="","－",IF(入力シート!G18&gt;=180,"✅ OK","❌ NG")))</f>
        <v/>
      </c>
      <c r="D9" s="20">
        <f>IF(入力シート!B18="","",IF(入力シート!H18="","－",IF(入力シート!J18&gt;=0.03,"✅ OK","❌ NG")))</f>
        <v/>
      </c>
      <c r="E9" s="20">
        <f>IF(入力シート!H8="","⚠️ 未確認",IF(入力シート!H8="あり","✅ OK","❌ NG"))</f>
        <v/>
      </c>
      <c r="F9" s="20">
        <f>IF(入力シート!B18="","",IF(入力シート!K18="","⚠️ 未確認",IF(入力シート!K18=0,"✅ OK","❌ NG")))</f>
        <v/>
      </c>
      <c r="G9" s="20">
        <f>IF(入力シート!H7="","⚠️ 未確認","✅ OK")</f>
        <v/>
      </c>
      <c r="H9" s="21">
        <f>IF(入力シート!B18="","",IF(AND(C9="✅ OK",D9="✅ OK",E9="✅ OK",F9="✅ OK",G9="✅ OK"),"✅ 申請可","⚠️ 要確認"))</f>
        <v/>
      </c>
      <c r="I9" s="22">
        <f>IF(入力シート!B18="","",IF(入力シート!H5="大企業",IF(入力シート!C18="無期契約",150000,300000),IF(入力シート!C18="無期契約",200000,400000)))</f>
        <v/>
      </c>
      <c r="J9" s="23">
        <f>IF(入力シート!B18="","",IF(OR(入力シート!C18="派遣",入力シート!D18="はい"),IF(入力シート!H5="大企業",IF(入力シート!C18="無期契約",150000,300000),IF(入力シート!C18="無期契約",200000,400000)),0))</f>
        <v/>
      </c>
      <c r="K9" s="23">
        <f>IF(入力シート!B18="","",IF(入力シート!H9="あり",IF(入力シート!H5="大企業",150000,200000),0))</f>
        <v/>
      </c>
      <c r="L9" s="24">
        <f>IF(入力シート!B18="","",I9+J9+K9)</f>
        <v/>
      </c>
      <c r="M9" s="25">
        <f>IF(入力シート!F18="","",EDATE(入力シート!F18,6))</f>
        <v/>
      </c>
      <c r="N9" s="25">
        <f>IF(入力シート!F18="","",EDATE(入力シート!F18,8))</f>
        <v/>
      </c>
      <c r="O9" s="26">
        <f>IF(OR(入力シート!C18="派遣",入力シート!D18="はい"),IF(入力シート!F18="","",EDATE(入力シート!F18,12)),"")</f>
        <v/>
      </c>
      <c r="P9" s="26">
        <f>IF(OR(入力シート!C18="派遣",入力シート!D18="はい"),IF(入力シート!F18="","",EDATE(入力シート!F18,14)),"")</f>
        <v/>
      </c>
    </row>
    <row r="10" ht="18" customHeight="1">
      <c r="A10" s="11">
        <f>入力シート!A19</f>
        <v/>
      </c>
      <c r="B10" s="19">
        <f>入力シート!B19</f>
        <v/>
      </c>
      <c r="C10" s="20">
        <f>IF(入力シート!B19="","",IF(入力シート!G19="","－",IF(入力シート!G19&gt;=180,"✅ OK","❌ NG")))</f>
        <v/>
      </c>
      <c r="D10" s="20">
        <f>IF(入力シート!B19="","",IF(入力シート!H19="","－",IF(入力シート!J19&gt;=0.03,"✅ OK","❌ NG")))</f>
        <v/>
      </c>
      <c r="E10" s="20">
        <f>IF(入力シート!H8="","⚠️ 未確認",IF(入力シート!H8="あり","✅ OK","❌ NG"))</f>
        <v/>
      </c>
      <c r="F10" s="20">
        <f>IF(入力シート!B19="","",IF(入力シート!K19="","⚠️ 未確認",IF(入力シート!K19=0,"✅ OK","❌ NG")))</f>
        <v/>
      </c>
      <c r="G10" s="20">
        <f>IF(入力シート!H7="","⚠️ 未確認","✅ OK")</f>
        <v/>
      </c>
      <c r="H10" s="21">
        <f>IF(入力シート!B19="","",IF(AND(C10="✅ OK",D10="✅ OK",E10="✅ OK",F10="✅ OK",G10="✅ OK"),"✅ 申請可","⚠️ 要確認"))</f>
        <v/>
      </c>
      <c r="I10" s="22">
        <f>IF(入力シート!B19="","",IF(入力シート!H5="大企業",IF(入力シート!C19="無期契約",150000,300000),IF(入力シート!C19="無期契約",200000,400000)))</f>
        <v/>
      </c>
      <c r="J10" s="23">
        <f>IF(入力シート!B19="","",IF(OR(入力シート!C19="派遣",入力シート!D19="はい"),IF(入力シート!H5="大企業",IF(入力シート!C19="無期契約",150000,300000),IF(入力シート!C19="無期契約",200000,400000)),0))</f>
        <v/>
      </c>
      <c r="K10" s="23">
        <f>IF(入力シート!B19="","",IF(入力シート!H9="あり",IF(入力シート!H5="大企業",150000,200000),0))</f>
        <v/>
      </c>
      <c r="L10" s="24">
        <f>IF(入力シート!B19="","",I10+J10+K10)</f>
        <v/>
      </c>
      <c r="M10" s="25">
        <f>IF(入力シート!F19="","",EDATE(入力シート!F19,6))</f>
        <v/>
      </c>
      <c r="N10" s="25">
        <f>IF(入力シート!F19="","",EDATE(入力シート!F19,8))</f>
        <v/>
      </c>
      <c r="O10" s="26">
        <f>IF(OR(入力シート!C19="派遣",入力シート!D19="はい"),IF(入力シート!F19="","",EDATE(入力シート!F19,12)),"")</f>
        <v/>
      </c>
      <c r="P10" s="26">
        <f>IF(OR(入力シート!C19="派遣",入力シート!D19="はい"),IF(入力シート!F19="","",EDATE(入力シート!F19,14)),"")</f>
        <v/>
      </c>
    </row>
    <row r="11" ht="18" customHeight="1">
      <c r="A11" s="11">
        <f>入力シート!A20</f>
        <v/>
      </c>
      <c r="B11" s="19">
        <f>入力シート!B20</f>
        <v/>
      </c>
      <c r="C11" s="20">
        <f>IF(入力シート!B20="","",IF(入力シート!G20="","－",IF(入力シート!G20&gt;=180,"✅ OK","❌ NG")))</f>
        <v/>
      </c>
      <c r="D11" s="20">
        <f>IF(入力シート!B20="","",IF(入力シート!H20="","－",IF(入力シート!J20&gt;=0.03,"✅ OK","❌ NG")))</f>
        <v/>
      </c>
      <c r="E11" s="20">
        <f>IF(入力シート!H8="","⚠️ 未確認",IF(入力シート!H8="あり","✅ OK","❌ NG"))</f>
        <v/>
      </c>
      <c r="F11" s="20">
        <f>IF(入力シート!B20="","",IF(入力シート!K20="","⚠️ 未確認",IF(入力シート!K20=0,"✅ OK","❌ NG")))</f>
        <v/>
      </c>
      <c r="G11" s="20">
        <f>IF(入力シート!H7="","⚠️ 未確認","✅ OK")</f>
        <v/>
      </c>
      <c r="H11" s="21">
        <f>IF(入力シート!B20="","",IF(AND(C11="✅ OK",D11="✅ OK",E11="✅ OK",F11="✅ OK",G11="✅ OK"),"✅ 申請可","⚠️ 要確認"))</f>
        <v/>
      </c>
      <c r="I11" s="22">
        <f>IF(入力シート!B20="","",IF(入力シート!H5="大企業",IF(入力シート!C20="無期契約",150000,300000),IF(入力シート!C20="無期契約",200000,400000)))</f>
        <v/>
      </c>
      <c r="J11" s="23">
        <f>IF(入力シート!B20="","",IF(OR(入力シート!C20="派遣",入力シート!D20="はい"),IF(入力シート!H5="大企業",IF(入力シート!C20="無期契約",150000,300000),IF(入力シート!C20="無期契約",200000,400000)),0))</f>
        <v/>
      </c>
      <c r="K11" s="23">
        <f>IF(入力シート!B20="","",IF(入力シート!H9="あり",IF(入力シート!H5="大企業",150000,200000),0))</f>
        <v/>
      </c>
      <c r="L11" s="24">
        <f>IF(入力シート!B20="","",I11+J11+K11)</f>
        <v/>
      </c>
      <c r="M11" s="25">
        <f>IF(入力シート!F20="","",EDATE(入力シート!F20,6))</f>
        <v/>
      </c>
      <c r="N11" s="25">
        <f>IF(入力シート!F20="","",EDATE(入力シート!F20,8))</f>
        <v/>
      </c>
      <c r="O11" s="26">
        <f>IF(OR(入力シート!C20="派遣",入力シート!D20="はい"),IF(入力シート!F20="","",EDATE(入力シート!F20,12)),"")</f>
        <v/>
      </c>
      <c r="P11" s="26">
        <f>IF(OR(入力シート!C20="派遣",入力シート!D20="はい"),IF(入力シート!F20="","",EDATE(入力シート!F20,14)),"")</f>
        <v/>
      </c>
    </row>
    <row r="12" ht="18" customHeight="1">
      <c r="A12" s="11">
        <f>入力シート!A21</f>
        <v/>
      </c>
      <c r="B12" s="19">
        <f>入力シート!B21</f>
        <v/>
      </c>
      <c r="C12" s="20">
        <f>IF(入力シート!B21="","",IF(入力シート!G21="","－",IF(入力シート!G21&gt;=180,"✅ OK","❌ NG")))</f>
        <v/>
      </c>
      <c r="D12" s="20">
        <f>IF(入力シート!B21="","",IF(入力シート!H21="","－",IF(入力シート!J21&gt;=0.03,"✅ OK","❌ NG")))</f>
        <v/>
      </c>
      <c r="E12" s="20">
        <f>IF(入力シート!H8="","⚠️ 未確認",IF(入力シート!H8="あり","✅ OK","❌ NG"))</f>
        <v/>
      </c>
      <c r="F12" s="20">
        <f>IF(入力シート!B21="","",IF(入力シート!K21="","⚠️ 未確認",IF(入力シート!K21=0,"✅ OK","❌ NG")))</f>
        <v/>
      </c>
      <c r="G12" s="20">
        <f>IF(入力シート!H7="","⚠️ 未確認","✅ OK")</f>
        <v/>
      </c>
      <c r="H12" s="21">
        <f>IF(入力シート!B21="","",IF(AND(C12="✅ OK",D12="✅ OK",E12="✅ OK",F12="✅ OK",G12="✅ OK"),"✅ 申請可","⚠️ 要確認"))</f>
        <v/>
      </c>
      <c r="I12" s="22">
        <f>IF(入力シート!B21="","",IF(入力シート!H5="大企業",IF(入力シート!C21="無期契約",150000,300000),IF(入力シート!C21="無期契約",200000,400000)))</f>
        <v/>
      </c>
      <c r="J12" s="23">
        <f>IF(入力シート!B21="","",IF(OR(入力シート!C21="派遣",入力シート!D21="はい"),IF(入力シート!H5="大企業",IF(入力シート!C21="無期契約",150000,300000),IF(入力シート!C21="無期契約",200000,400000)),0))</f>
        <v/>
      </c>
      <c r="K12" s="23">
        <f>IF(入力シート!B21="","",IF(入力シート!H9="あり",IF(入力シート!H5="大企業",150000,200000),0))</f>
        <v/>
      </c>
      <c r="L12" s="24">
        <f>IF(入力シート!B21="","",I12+J12+K12)</f>
        <v/>
      </c>
      <c r="M12" s="25">
        <f>IF(入力シート!F21="","",EDATE(入力シート!F21,6))</f>
        <v/>
      </c>
      <c r="N12" s="25">
        <f>IF(入力シート!F21="","",EDATE(入力シート!F21,8))</f>
        <v/>
      </c>
      <c r="O12" s="26">
        <f>IF(OR(入力シート!C21="派遣",入力シート!D21="はい"),IF(入力シート!F21="","",EDATE(入力シート!F21,12)),"")</f>
        <v/>
      </c>
      <c r="P12" s="26">
        <f>IF(OR(入力シート!C21="派遣",入力シート!D21="はい"),IF(入力シート!F21="","",EDATE(入力シート!F21,14)),"")</f>
        <v/>
      </c>
    </row>
    <row r="13" ht="18" customHeight="1">
      <c r="A13" s="11">
        <f>入力シート!A22</f>
        <v/>
      </c>
      <c r="B13" s="19">
        <f>入力シート!B22</f>
        <v/>
      </c>
      <c r="C13" s="20">
        <f>IF(入力シート!B22="","",IF(入力シート!G22="","－",IF(入力シート!G22&gt;=180,"✅ OK","❌ NG")))</f>
        <v/>
      </c>
      <c r="D13" s="20">
        <f>IF(入力シート!B22="","",IF(入力シート!H22="","－",IF(入力シート!J22&gt;=0.03,"✅ OK","❌ NG")))</f>
        <v/>
      </c>
      <c r="E13" s="20">
        <f>IF(入力シート!H8="","⚠️ 未確認",IF(入力シート!H8="あり","✅ OK","❌ NG"))</f>
        <v/>
      </c>
      <c r="F13" s="20">
        <f>IF(入力シート!B22="","",IF(入力シート!K22="","⚠️ 未確認",IF(入力シート!K22=0,"✅ OK","❌ NG")))</f>
        <v/>
      </c>
      <c r="G13" s="20">
        <f>IF(入力シート!H7="","⚠️ 未確認","✅ OK")</f>
        <v/>
      </c>
      <c r="H13" s="21">
        <f>IF(入力シート!B22="","",IF(AND(C13="✅ OK",D13="✅ OK",E13="✅ OK",F13="✅ OK",G13="✅ OK"),"✅ 申請可","⚠️ 要確認"))</f>
        <v/>
      </c>
      <c r="I13" s="22">
        <f>IF(入力シート!B22="","",IF(入力シート!H5="大企業",IF(入力シート!C22="無期契約",150000,300000),IF(入力シート!C22="無期契約",200000,400000)))</f>
        <v/>
      </c>
      <c r="J13" s="23">
        <f>IF(入力シート!B22="","",IF(OR(入力シート!C22="派遣",入力シート!D22="はい"),IF(入力シート!H5="大企業",IF(入力シート!C22="無期契約",150000,300000),IF(入力シート!C22="無期契約",200000,400000)),0))</f>
        <v/>
      </c>
      <c r="K13" s="23">
        <f>IF(入力シート!B22="","",IF(入力シート!H9="あり",IF(入力シート!H5="大企業",150000,200000),0))</f>
        <v/>
      </c>
      <c r="L13" s="24">
        <f>IF(入力シート!B22="","",I13+J13+K13)</f>
        <v/>
      </c>
      <c r="M13" s="25">
        <f>IF(入力シート!F22="","",EDATE(入力シート!F22,6))</f>
        <v/>
      </c>
      <c r="N13" s="25">
        <f>IF(入力シート!F22="","",EDATE(入力シート!F22,8))</f>
        <v/>
      </c>
      <c r="O13" s="26">
        <f>IF(OR(入力シート!C22="派遣",入力シート!D22="はい"),IF(入力シート!F22="","",EDATE(入力シート!F22,12)),"")</f>
        <v/>
      </c>
      <c r="P13" s="26">
        <f>IF(OR(入力シート!C22="派遣",入力シート!D22="はい"),IF(入力シート!F22="","",EDATE(入力シート!F22,14)),"")</f>
        <v/>
      </c>
    </row>
    <row r="14" ht="18" customHeight="1">
      <c r="A14" s="11">
        <f>入力シート!A23</f>
        <v/>
      </c>
      <c r="B14" s="19">
        <f>入力シート!B23</f>
        <v/>
      </c>
      <c r="C14" s="20">
        <f>IF(入力シート!B23="","",IF(入力シート!G23="","－",IF(入力シート!G23&gt;=180,"✅ OK","❌ NG")))</f>
        <v/>
      </c>
      <c r="D14" s="20">
        <f>IF(入力シート!B23="","",IF(入力シート!H23="","－",IF(入力シート!J23&gt;=0.03,"✅ OK","❌ NG")))</f>
        <v/>
      </c>
      <c r="E14" s="20">
        <f>IF(入力シート!H8="","⚠️ 未確認",IF(入力シート!H8="あり","✅ OK","❌ NG"))</f>
        <v/>
      </c>
      <c r="F14" s="20">
        <f>IF(入力シート!B23="","",IF(入力シート!K23="","⚠️ 未確認",IF(入力シート!K23=0,"✅ OK","❌ NG")))</f>
        <v/>
      </c>
      <c r="G14" s="20">
        <f>IF(入力シート!H7="","⚠️ 未確認","✅ OK")</f>
        <v/>
      </c>
      <c r="H14" s="21">
        <f>IF(入力シート!B23="","",IF(AND(C14="✅ OK",D14="✅ OK",E14="✅ OK",F14="✅ OK",G14="✅ OK"),"✅ 申請可","⚠️ 要確認"))</f>
        <v/>
      </c>
      <c r="I14" s="22">
        <f>IF(入力シート!B23="","",IF(入力シート!H5="大企業",IF(入力シート!C23="無期契約",150000,300000),IF(入力シート!C23="無期契約",200000,400000)))</f>
        <v/>
      </c>
      <c r="J14" s="23">
        <f>IF(入力シート!B23="","",IF(OR(入力シート!C23="派遣",入力シート!D23="はい"),IF(入力シート!H5="大企業",IF(入力シート!C23="無期契約",150000,300000),IF(入力シート!C23="無期契約",200000,400000)),0))</f>
        <v/>
      </c>
      <c r="K14" s="23">
        <f>IF(入力シート!B23="","",IF(入力シート!H9="あり",IF(入力シート!H5="大企業",150000,200000),0))</f>
        <v/>
      </c>
      <c r="L14" s="24">
        <f>IF(入力シート!B23="","",I14+J14+K14)</f>
        <v/>
      </c>
      <c r="M14" s="25">
        <f>IF(入力シート!F23="","",EDATE(入力シート!F23,6))</f>
        <v/>
      </c>
      <c r="N14" s="25">
        <f>IF(入力シート!F23="","",EDATE(入力シート!F23,8))</f>
        <v/>
      </c>
      <c r="O14" s="26">
        <f>IF(OR(入力シート!C23="派遣",入力シート!D23="はい"),IF(入力シート!F23="","",EDATE(入力シート!F23,12)),"")</f>
        <v/>
      </c>
      <c r="P14" s="26">
        <f>IF(OR(入力シート!C23="派遣",入力シート!D23="はい"),IF(入力シート!F23="","",EDATE(入力シート!F23,14)),"")</f>
        <v/>
      </c>
    </row>
    <row r="15" ht="18" customHeight="1">
      <c r="A15" s="11">
        <f>入力シート!A24</f>
        <v/>
      </c>
      <c r="B15" s="19">
        <f>入力シート!B24</f>
        <v/>
      </c>
      <c r="C15" s="20">
        <f>IF(入力シート!B24="","",IF(入力シート!G24="","－",IF(入力シート!G24&gt;=180,"✅ OK","❌ NG")))</f>
        <v/>
      </c>
      <c r="D15" s="20">
        <f>IF(入力シート!B24="","",IF(入力シート!H24="","－",IF(入力シート!J24&gt;=0.03,"✅ OK","❌ NG")))</f>
        <v/>
      </c>
      <c r="E15" s="20">
        <f>IF(入力シート!H8="","⚠️ 未確認",IF(入力シート!H8="あり","✅ OK","❌ NG"))</f>
        <v/>
      </c>
      <c r="F15" s="20">
        <f>IF(入力シート!B24="","",IF(入力シート!K24="","⚠️ 未確認",IF(入力シート!K24=0,"✅ OK","❌ NG")))</f>
        <v/>
      </c>
      <c r="G15" s="20">
        <f>IF(入力シート!H7="","⚠️ 未確認","✅ OK")</f>
        <v/>
      </c>
      <c r="H15" s="21">
        <f>IF(入力シート!B24="","",IF(AND(C15="✅ OK",D15="✅ OK",E15="✅ OK",F15="✅ OK",G15="✅ OK"),"✅ 申請可","⚠️ 要確認"))</f>
        <v/>
      </c>
      <c r="I15" s="22">
        <f>IF(入力シート!B24="","",IF(入力シート!H5="大企業",IF(入力シート!C24="無期契約",150000,300000),IF(入力シート!C24="無期契約",200000,400000)))</f>
        <v/>
      </c>
      <c r="J15" s="23">
        <f>IF(入力シート!B24="","",IF(OR(入力シート!C24="派遣",入力シート!D24="はい"),IF(入力シート!H5="大企業",IF(入力シート!C24="無期契約",150000,300000),IF(入力シート!C24="無期契約",200000,400000)),0))</f>
        <v/>
      </c>
      <c r="K15" s="23">
        <f>IF(入力シート!B24="","",IF(入力シート!H9="あり",IF(入力シート!H5="大企業",150000,200000),0))</f>
        <v/>
      </c>
      <c r="L15" s="24">
        <f>IF(入力シート!B24="","",I15+J15+K15)</f>
        <v/>
      </c>
      <c r="M15" s="25">
        <f>IF(入力シート!F24="","",EDATE(入力シート!F24,6))</f>
        <v/>
      </c>
      <c r="N15" s="25">
        <f>IF(入力シート!F24="","",EDATE(入力シート!F24,8))</f>
        <v/>
      </c>
      <c r="O15" s="26">
        <f>IF(OR(入力シート!C24="派遣",入力シート!D24="はい"),IF(入力シート!F24="","",EDATE(入力シート!F24,12)),"")</f>
        <v/>
      </c>
      <c r="P15" s="26">
        <f>IF(OR(入力シート!C24="派遣",入力シート!D24="はい"),IF(入力シート!F24="","",EDATE(入力シート!F24,14)),"")</f>
        <v/>
      </c>
    </row>
    <row r="16" ht="18" customHeight="1">
      <c r="A16" s="11">
        <f>入力シート!A25</f>
        <v/>
      </c>
      <c r="B16" s="19">
        <f>入力シート!B25</f>
        <v/>
      </c>
      <c r="C16" s="20">
        <f>IF(入力シート!B25="","",IF(入力シート!G25="","－",IF(入力シート!G25&gt;=180,"✅ OK","❌ NG")))</f>
        <v/>
      </c>
      <c r="D16" s="20">
        <f>IF(入力シート!B25="","",IF(入力シート!H25="","－",IF(入力シート!J25&gt;=0.03,"✅ OK","❌ NG")))</f>
        <v/>
      </c>
      <c r="E16" s="20">
        <f>IF(入力シート!H8="","⚠️ 未確認",IF(入力シート!H8="あり","✅ OK","❌ NG"))</f>
        <v/>
      </c>
      <c r="F16" s="20">
        <f>IF(入力シート!B25="","",IF(入力シート!K25="","⚠️ 未確認",IF(入力シート!K25=0,"✅ OK","❌ NG")))</f>
        <v/>
      </c>
      <c r="G16" s="20">
        <f>IF(入力シート!H7="","⚠️ 未確認","✅ OK")</f>
        <v/>
      </c>
      <c r="H16" s="21">
        <f>IF(入力シート!B25="","",IF(AND(C16="✅ OK",D16="✅ OK",E16="✅ OK",F16="✅ OK",G16="✅ OK"),"✅ 申請可","⚠️ 要確認"))</f>
        <v/>
      </c>
      <c r="I16" s="22">
        <f>IF(入力シート!B25="","",IF(入力シート!H5="大企業",IF(入力シート!C25="無期契約",150000,300000),IF(入力シート!C25="無期契約",200000,400000)))</f>
        <v/>
      </c>
      <c r="J16" s="23">
        <f>IF(入力シート!B25="","",IF(OR(入力シート!C25="派遣",入力シート!D25="はい"),IF(入力シート!H5="大企業",IF(入力シート!C25="無期契約",150000,300000),IF(入力シート!C25="無期契約",200000,400000)),0))</f>
        <v/>
      </c>
      <c r="K16" s="23">
        <f>IF(入力シート!B25="","",IF(入力シート!H9="あり",IF(入力シート!H5="大企業",150000,200000),0))</f>
        <v/>
      </c>
      <c r="L16" s="24">
        <f>IF(入力シート!B25="","",I16+J16+K16)</f>
        <v/>
      </c>
      <c r="M16" s="25">
        <f>IF(入力シート!F25="","",EDATE(入力シート!F25,6))</f>
        <v/>
      </c>
      <c r="N16" s="25">
        <f>IF(入力シート!F25="","",EDATE(入力シート!F25,8))</f>
        <v/>
      </c>
      <c r="O16" s="26">
        <f>IF(OR(入力シート!C25="派遣",入力シート!D25="はい"),IF(入力シート!F25="","",EDATE(入力シート!F25,12)),"")</f>
        <v/>
      </c>
      <c r="P16" s="26">
        <f>IF(OR(入力シート!C25="派遣",入力シート!D25="はい"),IF(入力シート!F25="","",EDATE(入力シート!F25,14)),"")</f>
        <v/>
      </c>
    </row>
    <row r="17" ht="18" customHeight="1">
      <c r="A17" s="11">
        <f>入力シート!A26</f>
        <v/>
      </c>
      <c r="B17" s="19">
        <f>入力シート!B26</f>
        <v/>
      </c>
      <c r="C17" s="20">
        <f>IF(入力シート!B26="","",IF(入力シート!G26="","－",IF(入力シート!G26&gt;=180,"✅ OK","❌ NG")))</f>
        <v/>
      </c>
      <c r="D17" s="20">
        <f>IF(入力シート!B26="","",IF(入力シート!H26="","－",IF(入力シート!J26&gt;=0.03,"✅ OK","❌ NG")))</f>
        <v/>
      </c>
      <c r="E17" s="20">
        <f>IF(入力シート!H8="","⚠️ 未確認",IF(入力シート!H8="あり","✅ OK","❌ NG"))</f>
        <v/>
      </c>
      <c r="F17" s="20">
        <f>IF(入力シート!B26="","",IF(入力シート!K26="","⚠️ 未確認",IF(入力シート!K26=0,"✅ OK","❌ NG")))</f>
        <v/>
      </c>
      <c r="G17" s="20">
        <f>IF(入力シート!H7="","⚠️ 未確認","✅ OK")</f>
        <v/>
      </c>
      <c r="H17" s="21">
        <f>IF(入力シート!B26="","",IF(AND(C17="✅ OK",D17="✅ OK",E17="✅ OK",F17="✅ OK",G17="✅ OK"),"✅ 申請可","⚠️ 要確認"))</f>
        <v/>
      </c>
      <c r="I17" s="22">
        <f>IF(入力シート!B26="","",IF(入力シート!H5="大企業",IF(入力シート!C26="無期契約",150000,300000),IF(入力シート!C26="無期契約",200000,400000)))</f>
        <v/>
      </c>
      <c r="J17" s="23">
        <f>IF(入力シート!B26="","",IF(OR(入力シート!C26="派遣",入力シート!D26="はい"),IF(入力シート!H5="大企業",IF(入力シート!C26="無期契約",150000,300000),IF(入力シート!C26="無期契約",200000,400000)),0))</f>
        <v/>
      </c>
      <c r="K17" s="23">
        <f>IF(入力シート!B26="","",IF(入力シート!H9="あり",IF(入力シート!H5="大企業",150000,200000),0))</f>
        <v/>
      </c>
      <c r="L17" s="24">
        <f>IF(入力シート!B26="","",I17+J17+K17)</f>
        <v/>
      </c>
      <c r="M17" s="25">
        <f>IF(入力シート!F26="","",EDATE(入力シート!F26,6))</f>
        <v/>
      </c>
      <c r="N17" s="25">
        <f>IF(入力シート!F26="","",EDATE(入力シート!F26,8))</f>
        <v/>
      </c>
      <c r="O17" s="26">
        <f>IF(OR(入力シート!C26="派遣",入力シート!D26="はい"),IF(入力シート!F26="","",EDATE(入力シート!F26,12)),"")</f>
        <v/>
      </c>
      <c r="P17" s="26">
        <f>IF(OR(入力シート!C26="派遣",入力シート!D26="はい"),IF(入力シート!F26="","",EDATE(入力シート!F26,14)),"")</f>
        <v/>
      </c>
    </row>
    <row r="18" ht="18" customHeight="1">
      <c r="A18" s="11">
        <f>入力シート!A27</f>
        <v/>
      </c>
      <c r="B18" s="19">
        <f>入力シート!B27</f>
        <v/>
      </c>
      <c r="C18" s="20">
        <f>IF(入力シート!B27="","",IF(入力シート!G27="","－",IF(入力シート!G27&gt;=180,"✅ OK","❌ NG")))</f>
        <v/>
      </c>
      <c r="D18" s="20">
        <f>IF(入力シート!B27="","",IF(入力シート!H27="","－",IF(入力シート!J27&gt;=0.03,"✅ OK","❌ NG")))</f>
        <v/>
      </c>
      <c r="E18" s="20">
        <f>IF(入力シート!H8="","⚠️ 未確認",IF(入力シート!H8="あり","✅ OK","❌ NG"))</f>
        <v/>
      </c>
      <c r="F18" s="20">
        <f>IF(入力シート!B27="","",IF(入力シート!K27="","⚠️ 未確認",IF(入力シート!K27=0,"✅ OK","❌ NG")))</f>
        <v/>
      </c>
      <c r="G18" s="20">
        <f>IF(入力シート!H7="","⚠️ 未確認","✅ OK")</f>
        <v/>
      </c>
      <c r="H18" s="21">
        <f>IF(入力シート!B27="","",IF(AND(C18="✅ OK",D18="✅ OK",E18="✅ OK",F18="✅ OK",G18="✅ OK"),"✅ 申請可","⚠️ 要確認"))</f>
        <v/>
      </c>
      <c r="I18" s="22">
        <f>IF(入力シート!B27="","",IF(入力シート!H5="大企業",IF(入力シート!C27="無期契約",150000,300000),IF(入力シート!C27="無期契約",200000,400000)))</f>
        <v/>
      </c>
      <c r="J18" s="23">
        <f>IF(入力シート!B27="","",IF(OR(入力シート!C27="派遣",入力シート!D27="はい"),IF(入力シート!H5="大企業",IF(入力シート!C27="無期契約",150000,300000),IF(入力シート!C27="無期契約",200000,400000)),0))</f>
        <v/>
      </c>
      <c r="K18" s="23">
        <f>IF(入力シート!B27="","",IF(入力シート!H9="あり",IF(入力シート!H5="大企業",150000,200000),0))</f>
        <v/>
      </c>
      <c r="L18" s="24">
        <f>IF(入力シート!B27="","",I18+J18+K18)</f>
        <v/>
      </c>
      <c r="M18" s="25">
        <f>IF(入力シート!F27="","",EDATE(入力シート!F27,6))</f>
        <v/>
      </c>
      <c r="N18" s="25">
        <f>IF(入力シート!F27="","",EDATE(入力シート!F27,8))</f>
        <v/>
      </c>
      <c r="O18" s="26">
        <f>IF(OR(入力シート!C27="派遣",入力シート!D27="はい"),IF(入力シート!F27="","",EDATE(入力シート!F27,12)),"")</f>
        <v/>
      </c>
      <c r="P18" s="26">
        <f>IF(OR(入力シート!C27="派遣",入力シート!D27="はい"),IF(入力シート!F27="","",EDATE(入力シート!F27,14)),"")</f>
        <v/>
      </c>
    </row>
    <row r="19" ht="18" customHeight="1">
      <c r="A19" s="11">
        <f>入力シート!A28</f>
        <v/>
      </c>
      <c r="B19" s="19">
        <f>入力シート!B28</f>
        <v/>
      </c>
      <c r="C19" s="20">
        <f>IF(入力シート!B28="","",IF(入力シート!G28="","－",IF(入力シート!G28&gt;=180,"✅ OK","❌ NG")))</f>
        <v/>
      </c>
      <c r="D19" s="20">
        <f>IF(入力シート!B28="","",IF(入力シート!H28="","－",IF(入力シート!J28&gt;=0.03,"✅ OK","❌ NG")))</f>
        <v/>
      </c>
      <c r="E19" s="20">
        <f>IF(入力シート!H8="","⚠️ 未確認",IF(入力シート!H8="あり","✅ OK","❌ NG"))</f>
        <v/>
      </c>
      <c r="F19" s="20">
        <f>IF(入力シート!B28="","",IF(入力シート!K28="","⚠️ 未確認",IF(入力シート!K28=0,"✅ OK","❌ NG")))</f>
        <v/>
      </c>
      <c r="G19" s="20">
        <f>IF(入力シート!H7="","⚠️ 未確認","✅ OK")</f>
        <v/>
      </c>
      <c r="H19" s="21">
        <f>IF(入力シート!B28="","",IF(AND(C19="✅ OK",D19="✅ OK",E19="✅ OK",F19="✅ OK",G19="✅ OK"),"✅ 申請可","⚠️ 要確認"))</f>
        <v/>
      </c>
      <c r="I19" s="22">
        <f>IF(入力シート!B28="","",IF(入力シート!H5="大企業",IF(入力シート!C28="無期契約",150000,300000),IF(入力シート!C28="無期契約",200000,400000)))</f>
        <v/>
      </c>
      <c r="J19" s="23">
        <f>IF(入力シート!B28="","",IF(OR(入力シート!C28="派遣",入力シート!D28="はい"),IF(入力シート!H5="大企業",IF(入力シート!C28="無期契約",150000,300000),IF(入力シート!C28="無期契約",200000,400000)),0))</f>
        <v/>
      </c>
      <c r="K19" s="23">
        <f>IF(入力シート!B28="","",IF(入力シート!H9="あり",IF(入力シート!H5="大企業",150000,200000),0))</f>
        <v/>
      </c>
      <c r="L19" s="24">
        <f>IF(入力シート!B28="","",I19+J19+K19)</f>
        <v/>
      </c>
      <c r="M19" s="25">
        <f>IF(入力シート!F28="","",EDATE(入力シート!F28,6))</f>
        <v/>
      </c>
      <c r="N19" s="25">
        <f>IF(入力シート!F28="","",EDATE(入力シート!F28,8))</f>
        <v/>
      </c>
      <c r="O19" s="26">
        <f>IF(OR(入力シート!C28="派遣",入力シート!D28="はい"),IF(入力シート!F28="","",EDATE(入力シート!F28,12)),"")</f>
        <v/>
      </c>
      <c r="P19" s="26">
        <f>IF(OR(入力シート!C28="派遣",入力シート!D28="はい"),IF(入力シート!F28="","",EDATE(入力シート!F28,14)),"")</f>
        <v/>
      </c>
    </row>
    <row r="20" ht="18" customHeight="1">
      <c r="A20" s="11">
        <f>入力シート!A29</f>
        <v/>
      </c>
      <c r="B20" s="19">
        <f>入力シート!B29</f>
        <v/>
      </c>
      <c r="C20" s="20">
        <f>IF(入力シート!B29="","",IF(入力シート!G29="","－",IF(入力シート!G29&gt;=180,"✅ OK","❌ NG")))</f>
        <v/>
      </c>
      <c r="D20" s="20">
        <f>IF(入力シート!B29="","",IF(入力シート!H29="","－",IF(入力シート!J29&gt;=0.03,"✅ OK","❌ NG")))</f>
        <v/>
      </c>
      <c r="E20" s="20">
        <f>IF(入力シート!H8="","⚠️ 未確認",IF(入力シート!H8="あり","✅ OK","❌ NG"))</f>
        <v/>
      </c>
      <c r="F20" s="20">
        <f>IF(入力シート!B29="","",IF(入力シート!K29="","⚠️ 未確認",IF(入力シート!K29=0,"✅ OK","❌ NG")))</f>
        <v/>
      </c>
      <c r="G20" s="20">
        <f>IF(入力シート!H7="","⚠️ 未確認","✅ OK")</f>
        <v/>
      </c>
      <c r="H20" s="21">
        <f>IF(入力シート!B29="","",IF(AND(C20="✅ OK",D20="✅ OK",E20="✅ OK",F20="✅ OK",G20="✅ OK"),"✅ 申請可","⚠️ 要確認"))</f>
        <v/>
      </c>
      <c r="I20" s="22">
        <f>IF(入力シート!B29="","",IF(入力シート!H5="大企業",IF(入力シート!C29="無期契約",150000,300000),IF(入力シート!C29="無期契約",200000,400000)))</f>
        <v/>
      </c>
      <c r="J20" s="23">
        <f>IF(入力シート!B29="","",IF(OR(入力シート!C29="派遣",入力シート!D29="はい"),IF(入力シート!H5="大企業",IF(入力シート!C29="無期契約",150000,300000),IF(入力シート!C29="無期契約",200000,400000)),0))</f>
        <v/>
      </c>
      <c r="K20" s="23">
        <f>IF(入力シート!B29="","",IF(入力シート!H9="あり",IF(入力シート!H5="大企業",150000,200000),0))</f>
        <v/>
      </c>
      <c r="L20" s="24">
        <f>IF(入力シート!B29="","",I20+J20+K20)</f>
        <v/>
      </c>
      <c r="M20" s="25">
        <f>IF(入力シート!F29="","",EDATE(入力シート!F29,6))</f>
        <v/>
      </c>
      <c r="N20" s="25">
        <f>IF(入力シート!F29="","",EDATE(入力シート!F29,8))</f>
        <v/>
      </c>
      <c r="O20" s="26">
        <f>IF(OR(入力シート!C29="派遣",入力シート!D29="はい"),IF(入力シート!F29="","",EDATE(入力シート!F29,12)),"")</f>
        <v/>
      </c>
      <c r="P20" s="26">
        <f>IF(OR(入力シート!C29="派遣",入力シート!D29="はい"),IF(入力シート!F29="","",EDATE(入力シート!F29,14)),"")</f>
        <v/>
      </c>
    </row>
    <row r="21" ht="18" customHeight="1">
      <c r="A21" s="11">
        <f>入力シート!A30</f>
        <v/>
      </c>
      <c r="B21" s="19">
        <f>入力シート!B30</f>
        <v/>
      </c>
      <c r="C21" s="20">
        <f>IF(入力シート!B30="","",IF(入力シート!G30="","－",IF(入力シート!G30&gt;=180,"✅ OK","❌ NG")))</f>
        <v/>
      </c>
      <c r="D21" s="20">
        <f>IF(入力シート!B30="","",IF(入力シート!H30="","－",IF(入力シート!J30&gt;=0.03,"✅ OK","❌ NG")))</f>
        <v/>
      </c>
      <c r="E21" s="20">
        <f>IF(入力シート!H8="","⚠️ 未確認",IF(入力シート!H8="あり","✅ OK","❌ NG"))</f>
        <v/>
      </c>
      <c r="F21" s="20">
        <f>IF(入力シート!B30="","",IF(入力シート!K30="","⚠️ 未確認",IF(入力シート!K30=0,"✅ OK","❌ NG")))</f>
        <v/>
      </c>
      <c r="G21" s="20">
        <f>IF(入力シート!H7="","⚠️ 未確認","✅ OK")</f>
        <v/>
      </c>
      <c r="H21" s="21">
        <f>IF(入力シート!B30="","",IF(AND(C21="✅ OK",D21="✅ OK",E21="✅ OK",F21="✅ OK",G21="✅ OK"),"✅ 申請可","⚠️ 要確認"))</f>
        <v/>
      </c>
      <c r="I21" s="22">
        <f>IF(入力シート!B30="","",IF(入力シート!H5="大企業",IF(入力シート!C30="無期契約",150000,300000),IF(入力シート!C30="無期契約",200000,400000)))</f>
        <v/>
      </c>
      <c r="J21" s="23">
        <f>IF(入力シート!B30="","",IF(OR(入力シート!C30="派遣",入力シート!D30="はい"),IF(入力シート!H5="大企業",IF(入力シート!C30="無期契約",150000,300000),IF(入力シート!C30="無期契約",200000,400000)),0))</f>
        <v/>
      </c>
      <c r="K21" s="23">
        <f>IF(入力シート!B30="","",IF(入力シート!H9="あり",IF(入力シート!H5="大企業",150000,200000),0))</f>
        <v/>
      </c>
      <c r="L21" s="24">
        <f>IF(入力シート!B30="","",I21+J21+K21)</f>
        <v/>
      </c>
      <c r="M21" s="25">
        <f>IF(入力シート!F30="","",EDATE(入力シート!F30,6))</f>
        <v/>
      </c>
      <c r="N21" s="25">
        <f>IF(入力シート!F30="","",EDATE(入力シート!F30,8))</f>
        <v/>
      </c>
      <c r="O21" s="26">
        <f>IF(OR(入力シート!C30="派遣",入力シート!D30="はい"),IF(入力シート!F30="","",EDATE(入力シート!F30,12)),"")</f>
        <v/>
      </c>
      <c r="P21" s="26">
        <f>IF(OR(入力シート!C30="派遣",入力シート!D30="はい"),IF(入力シート!F30="","",EDATE(入力シート!F30,14)),"")</f>
        <v/>
      </c>
    </row>
    <row r="22" ht="18" customHeight="1">
      <c r="A22" s="11">
        <f>入力シート!A31</f>
        <v/>
      </c>
      <c r="B22" s="19">
        <f>入力シート!B31</f>
        <v/>
      </c>
      <c r="C22" s="20">
        <f>IF(入力シート!B31="","",IF(入力シート!G31="","－",IF(入力シート!G31&gt;=180,"✅ OK","❌ NG")))</f>
        <v/>
      </c>
      <c r="D22" s="20">
        <f>IF(入力シート!B31="","",IF(入力シート!H31="","－",IF(入力シート!J31&gt;=0.03,"✅ OK","❌ NG")))</f>
        <v/>
      </c>
      <c r="E22" s="20">
        <f>IF(入力シート!H8="","⚠️ 未確認",IF(入力シート!H8="あり","✅ OK","❌ NG"))</f>
        <v/>
      </c>
      <c r="F22" s="20">
        <f>IF(入力シート!B31="","",IF(入力シート!K31="","⚠️ 未確認",IF(入力シート!K31=0,"✅ OK","❌ NG")))</f>
        <v/>
      </c>
      <c r="G22" s="20">
        <f>IF(入力シート!H7="","⚠️ 未確認","✅ OK")</f>
        <v/>
      </c>
      <c r="H22" s="21">
        <f>IF(入力シート!B31="","",IF(AND(C22="✅ OK",D22="✅ OK",E22="✅ OK",F22="✅ OK",G22="✅ OK"),"✅ 申請可","⚠️ 要確認"))</f>
        <v/>
      </c>
      <c r="I22" s="22">
        <f>IF(入力シート!B31="","",IF(入力シート!H5="大企業",IF(入力シート!C31="無期契約",150000,300000),IF(入力シート!C31="無期契約",200000,400000)))</f>
        <v/>
      </c>
      <c r="J22" s="23">
        <f>IF(入力シート!B31="","",IF(OR(入力シート!C31="派遣",入力シート!D31="はい"),IF(入力シート!H5="大企業",IF(入力シート!C31="無期契約",150000,300000),IF(入力シート!C31="無期契約",200000,400000)),0))</f>
        <v/>
      </c>
      <c r="K22" s="23">
        <f>IF(入力シート!B31="","",IF(入力シート!H9="あり",IF(入力シート!H5="大企業",150000,200000),0))</f>
        <v/>
      </c>
      <c r="L22" s="24">
        <f>IF(入力シート!B31="","",I22+J22+K22)</f>
        <v/>
      </c>
      <c r="M22" s="25">
        <f>IF(入力シート!F31="","",EDATE(入力シート!F31,6))</f>
        <v/>
      </c>
      <c r="N22" s="25">
        <f>IF(入力シート!F31="","",EDATE(入力シート!F31,8))</f>
        <v/>
      </c>
      <c r="O22" s="26">
        <f>IF(OR(入力シート!C31="派遣",入力シート!D31="はい"),IF(入力シート!F31="","",EDATE(入力シート!F31,12)),"")</f>
        <v/>
      </c>
      <c r="P22" s="26">
        <f>IF(OR(入力シート!C31="派遣",入力シート!D31="はい"),IF(入力シート!F31="","",EDATE(入力シート!F31,14)),"")</f>
        <v/>
      </c>
    </row>
    <row r="23" ht="18" customHeight="1">
      <c r="A23" s="11">
        <f>入力シート!A32</f>
        <v/>
      </c>
      <c r="B23" s="19">
        <f>入力シート!B32</f>
        <v/>
      </c>
      <c r="C23" s="20">
        <f>IF(入力シート!B32="","",IF(入力シート!G32="","－",IF(入力シート!G32&gt;=180,"✅ OK","❌ NG")))</f>
        <v/>
      </c>
      <c r="D23" s="20">
        <f>IF(入力シート!B32="","",IF(入力シート!H32="","－",IF(入力シート!J32&gt;=0.03,"✅ OK","❌ NG")))</f>
        <v/>
      </c>
      <c r="E23" s="20">
        <f>IF(入力シート!H8="","⚠️ 未確認",IF(入力シート!H8="あり","✅ OK","❌ NG"))</f>
        <v/>
      </c>
      <c r="F23" s="20">
        <f>IF(入力シート!B32="","",IF(入力シート!K32="","⚠️ 未確認",IF(入力シート!K32=0,"✅ OK","❌ NG")))</f>
        <v/>
      </c>
      <c r="G23" s="20">
        <f>IF(入力シート!H7="","⚠️ 未確認","✅ OK")</f>
        <v/>
      </c>
      <c r="H23" s="21">
        <f>IF(入力シート!B32="","",IF(AND(C23="✅ OK",D23="✅ OK",E23="✅ OK",F23="✅ OK",G23="✅ OK"),"✅ 申請可","⚠️ 要確認"))</f>
        <v/>
      </c>
      <c r="I23" s="22">
        <f>IF(入力シート!B32="","",IF(入力シート!H5="大企業",IF(入力シート!C32="無期契約",150000,300000),IF(入力シート!C32="無期契約",200000,400000)))</f>
        <v/>
      </c>
      <c r="J23" s="23">
        <f>IF(入力シート!B32="","",IF(OR(入力シート!C32="派遣",入力シート!D32="はい"),IF(入力シート!H5="大企業",IF(入力シート!C32="無期契約",150000,300000),IF(入力シート!C32="無期契約",200000,400000)),0))</f>
        <v/>
      </c>
      <c r="K23" s="23">
        <f>IF(入力シート!B32="","",IF(入力シート!H9="あり",IF(入力シート!H5="大企業",150000,200000),0))</f>
        <v/>
      </c>
      <c r="L23" s="24">
        <f>IF(入力シート!B32="","",I23+J23+K23)</f>
        <v/>
      </c>
      <c r="M23" s="25">
        <f>IF(入力シート!F32="","",EDATE(入力シート!F32,6))</f>
        <v/>
      </c>
      <c r="N23" s="25">
        <f>IF(入力シート!F32="","",EDATE(入力シート!F32,8))</f>
        <v/>
      </c>
      <c r="O23" s="26">
        <f>IF(OR(入力シート!C32="派遣",入力シート!D32="はい"),IF(入力シート!F32="","",EDATE(入力シート!F32,12)),"")</f>
        <v/>
      </c>
      <c r="P23" s="26">
        <f>IF(OR(入力シート!C32="派遣",入力シート!D32="はい"),IF(入力シート!F32="","",EDATE(入力シート!F32,14)),"")</f>
        <v/>
      </c>
    </row>
    <row r="24" ht="18" customHeight="1">
      <c r="A24" s="11">
        <f>入力シート!A33</f>
        <v/>
      </c>
      <c r="B24" s="19">
        <f>入力シート!B33</f>
        <v/>
      </c>
      <c r="C24" s="20">
        <f>IF(入力シート!B33="","",IF(入力シート!G33="","－",IF(入力シート!G33&gt;=180,"✅ OK","❌ NG")))</f>
        <v/>
      </c>
      <c r="D24" s="20">
        <f>IF(入力シート!B33="","",IF(入力シート!H33="","－",IF(入力シート!J33&gt;=0.03,"✅ OK","❌ NG")))</f>
        <v/>
      </c>
      <c r="E24" s="20">
        <f>IF(入力シート!H8="","⚠️ 未確認",IF(入力シート!H8="あり","✅ OK","❌ NG"))</f>
        <v/>
      </c>
      <c r="F24" s="20">
        <f>IF(入力シート!B33="","",IF(入力シート!K33="","⚠️ 未確認",IF(入力シート!K33=0,"✅ OK","❌ NG")))</f>
        <v/>
      </c>
      <c r="G24" s="20">
        <f>IF(入力シート!H7="","⚠️ 未確認","✅ OK")</f>
        <v/>
      </c>
      <c r="H24" s="21">
        <f>IF(入力シート!B33="","",IF(AND(C24="✅ OK",D24="✅ OK",E24="✅ OK",F24="✅ OK",G24="✅ OK"),"✅ 申請可","⚠️ 要確認"))</f>
        <v/>
      </c>
      <c r="I24" s="22">
        <f>IF(入力シート!B33="","",IF(入力シート!H5="大企業",IF(入力シート!C33="無期契約",150000,300000),IF(入力シート!C33="無期契約",200000,400000)))</f>
        <v/>
      </c>
      <c r="J24" s="23">
        <f>IF(入力シート!B33="","",IF(OR(入力シート!C33="派遣",入力シート!D33="はい"),IF(入力シート!H5="大企業",IF(入力シート!C33="無期契約",150000,300000),IF(入力シート!C33="無期契約",200000,400000)),0))</f>
        <v/>
      </c>
      <c r="K24" s="23">
        <f>IF(入力シート!B33="","",IF(入力シート!H9="あり",IF(入力シート!H5="大企業",150000,200000),0))</f>
        <v/>
      </c>
      <c r="L24" s="24">
        <f>IF(入力シート!B33="","",I24+J24+K24)</f>
        <v/>
      </c>
      <c r="M24" s="25">
        <f>IF(入力シート!F33="","",EDATE(入力シート!F33,6))</f>
        <v/>
      </c>
      <c r="N24" s="25">
        <f>IF(入力シート!F33="","",EDATE(入力シート!F33,8))</f>
        <v/>
      </c>
      <c r="O24" s="26">
        <f>IF(OR(入力シート!C33="派遣",入力シート!D33="はい"),IF(入力シート!F33="","",EDATE(入力シート!F33,12)),"")</f>
        <v/>
      </c>
      <c r="P24" s="26">
        <f>IF(OR(入力シート!C33="派遣",入力シート!D33="はい"),IF(入力シート!F33="","",EDATE(入力シート!F33,14)),"")</f>
        <v/>
      </c>
    </row>
    <row r="26" ht="14" customHeight="1">
      <c r="A26" s="27" t="inlineStr">
        <is>
          <t>【令和8年度の変更点】①2期制導入（第2期は重点支援対象者のみ）　②情報公表加算（中小20万/大企業15万）が新設　③重点支援対象者は合計助成額が2倍</t>
        </is>
      </c>
    </row>
  </sheetData>
  <mergeCells count="3">
    <mergeCell ref="A1:P1"/>
    <mergeCell ref="A26:P26"/>
    <mergeCell ref="A2:P2"/>
  </mergeCells>
  <conditionalFormatting sqref="H5:H24">
    <cfRule type="expression" priority="1" dxfId="0">
      <formula>H5="✅ 申請可"</formula>
    </cfRule>
    <cfRule type="expression" priority="2" dxfId="2">
      <formula>H5="⚠️ 要確認"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5" customWidth="1" min="3" max="3"/>
  </cols>
  <sheetData>
    <row r="1" ht="30" customHeight="1">
      <c r="A1" s="1" t="inlineStr">
        <is>
          <t>キャリアアップ助成金（正社員化コース）要件一覧　令和8年度【参照用】</t>
        </is>
      </c>
    </row>
    <row r="3" ht="22" customHeight="1">
      <c r="A3" s="28" t="inlineStr">
        <is>
          <t>【事前要件】転換前に確認</t>
        </is>
      </c>
    </row>
    <row r="4" ht="20" customHeight="1">
      <c r="A4" s="19" t="inlineStr"/>
      <c r="B4" s="29" t="inlineStr">
        <is>
          <t>キャリアアップ計画</t>
        </is>
      </c>
      <c r="C4" s="30" t="inlineStr">
        <is>
          <t>転換日の前日までに労働局へ提出・受理が必要</t>
        </is>
      </c>
    </row>
    <row r="5" ht="20" customHeight="1">
      <c r="A5" s="19" t="inlineStr"/>
      <c r="B5" s="29" t="inlineStr">
        <is>
          <t>就業規則の転換規定</t>
        </is>
      </c>
      <c r="C5" s="30" t="inlineStr">
        <is>
          <t>正社員転換を規定した条文が必要（転換日前に届出済みであること）</t>
        </is>
      </c>
    </row>
    <row r="6" ht="20" customHeight="1">
      <c r="A6" s="19" t="inlineStr"/>
      <c r="B6" s="29" t="inlineStr">
        <is>
          <t>雇用形態</t>
        </is>
      </c>
      <c r="C6" s="30" t="inlineStr">
        <is>
          <t>有期契約・無期契約・派遣社員が対象</t>
        </is>
      </c>
    </row>
    <row r="7" ht="20" customHeight="1">
      <c r="A7" s="19" t="inlineStr"/>
      <c r="B7" s="29" t="inlineStr">
        <is>
          <t>雇用期間</t>
        </is>
      </c>
      <c r="C7" s="30" t="inlineStr">
        <is>
          <t>転換前に同一事業所で6ヶ月以上継続雇用されていること</t>
        </is>
      </c>
    </row>
    <row r="8" ht="20" customHeight="1">
      <c r="A8" s="19" t="inlineStr"/>
      <c r="B8" s="29" t="inlineStr">
        <is>
          <t>会社都合離職者</t>
        </is>
      </c>
      <c r="C8" s="30" t="inlineStr">
        <is>
          <t>転換日の前日から過去6ヶ月以内に特定受給資格者となる離職者がいないこと</t>
        </is>
      </c>
    </row>
    <row r="9" ht="20" customHeight="1">
      <c r="A9" s="19" t="inlineStr"/>
      <c r="B9" s="29" t="inlineStr">
        <is>
          <t>雇用保険</t>
        </is>
      </c>
      <c r="C9" s="30" t="inlineStr">
        <is>
          <t>雇用保険適用事業所であること</t>
        </is>
      </c>
    </row>
    <row r="11" ht="22" customHeight="1">
      <c r="A11" s="28" t="inlineStr">
        <is>
          <t>【転換時の要件】</t>
        </is>
      </c>
    </row>
    <row r="12" ht="20" customHeight="1">
      <c r="A12" s="19" t="inlineStr"/>
      <c r="B12" s="29" t="inlineStr">
        <is>
          <t>転換後の雇用形態</t>
        </is>
      </c>
      <c r="C12" s="30" t="inlineStr">
        <is>
          <t>無期・フルタイムの正規雇用労働者であること</t>
        </is>
      </c>
    </row>
    <row r="13" ht="20" customHeight="1">
      <c r="A13" s="19" t="inlineStr"/>
      <c r="B13" s="29" t="inlineStr">
        <is>
          <t>賃金の増額</t>
        </is>
      </c>
      <c r="C13" s="30" t="inlineStr">
        <is>
          <t>転換前と比較して3%以上の賃金増額が必要</t>
        </is>
      </c>
    </row>
    <row r="14" ht="20" customHeight="1">
      <c r="A14" s="19" t="inlineStr"/>
      <c r="B14" s="29" t="inlineStr">
        <is>
          <t>転換根拠</t>
        </is>
      </c>
      <c r="C14" s="30" t="inlineStr">
        <is>
          <t>就業規則に基づく転換であること</t>
        </is>
      </c>
    </row>
    <row r="16" ht="22" customHeight="1">
      <c r="A16" s="31" t="inlineStr">
        <is>
          <t>【申請時の要件】令和8年度：2期制</t>
        </is>
      </c>
    </row>
    <row r="17" ht="20" customHeight="1">
      <c r="A17" s="19" t="inlineStr"/>
      <c r="B17" s="29" t="inlineStr">
        <is>
          <t>第1期申請期限</t>
        </is>
      </c>
      <c r="C17" s="30" t="inlineStr">
        <is>
          <t>転換後6ヶ月経過した日の翌日〜8ヶ月後末日（2ヶ月間）　※全対象者</t>
        </is>
      </c>
    </row>
    <row r="18" ht="20" customHeight="1">
      <c r="A18" s="19" t="inlineStr"/>
      <c r="B18" s="29" t="inlineStr">
        <is>
          <t>第2期申請期限</t>
        </is>
      </c>
      <c r="C18" s="30" t="inlineStr">
        <is>
          <t>転換後12ヶ月経過した日の翌日〜14ヶ月後末日（2ヶ月間）　※重点支援対象者のみ</t>
        </is>
      </c>
    </row>
    <row r="19" ht="20" customHeight="1">
      <c r="A19" s="19" t="inlineStr"/>
      <c r="B19" s="29" t="inlineStr">
        <is>
          <t>賃金支払い</t>
        </is>
      </c>
      <c r="C19" s="30" t="inlineStr">
        <is>
          <t>各申請期について、6ヶ月分の賃金を支払い済みであること</t>
        </is>
      </c>
    </row>
    <row r="20" ht="20" customHeight="1">
      <c r="A20" s="19" t="inlineStr"/>
      <c r="B20" s="29" t="inlineStr">
        <is>
          <t>添付書類</t>
        </is>
      </c>
      <c r="C20" s="30" t="inlineStr">
        <is>
          <t>雇用契約書、賃金台帳、転換前後の出勤簿、就業規則など</t>
        </is>
      </c>
    </row>
    <row r="22" ht="22" customHeight="1">
      <c r="A22" s="31" t="inlineStr">
        <is>
          <t>【重点支援対象者とは】令和8年度新設</t>
        </is>
      </c>
    </row>
    <row r="23" ht="20" customHeight="1">
      <c r="A23" s="19" t="inlineStr"/>
      <c r="B23" s="29" t="inlineStr">
        <is>
          <t>①派遣労働者</t>
        </is>
      </c>
      <c r="C23" s="30" t="inlineStr">
        <is>
          <t>すべての派遣労働者が対象</t>
        </is>
      </c>
    </row>
    <row r="24" ht="20" customHeight="1">
      <c r="A24" s="19" t="inlineStr"/>
      <c r="B24" s="29" t="inlineStr">
        <is>
          <t>②雇入れ3年以上の有期労働者</t>
        </is>
      </c>
      <c r="C24" s="30" t="inlineStr">
        <is>
          <t>同一事業所で3年以上継続して有期契約で雇用されている者</t>
        </is>
      </c>
    </row>
    <row r="25" ht="20" customHeight="1">
      <c r="A25" s="19" t="inlineStr"/>
      <c r="B25" s="29" t="inlineStr">
        <is>
          <t>③過去5年間で正規雇用が1年以下の有期労働者</t>
        </is>
      </c>
      <c r="C25" s="30" t="inlineStr">
        <is>
          <t>雇入れから3年未満で、過去5年間の正規雇用期間が通算1年以下かつ過去1年間に正規雇用されていない有期労働者</t>
        </is>
      </c>
    </row>
    <row r="26" ht="20" customHeight="1">
      <c r="A26" s="19" t="inlineStr"/>
      <c r="B26" s="29" t="inlineStr">
        <is>
          <t>④その他</t>
        </is>
      </c>
      <c r="C26" s="30" t="inlineStr">
        <is>
          <t>母子家庭の母等、特定の訓練修了者 など</t>
        </is>
      </c>
    </row>
    <row r="28" ht="22" customHeight="1">
      <c r="A28" s="31" t="inlineStr">
        <is>
          <t>【助成額（令和8年度）】</t>
        </is>
      </c>
    </row>
    <row r="29" ht="20" customHeight="1">
      <c r="A29" s="19" t="inlineStr"/>
      <c r="B29" s="29" t="inlineStr">
        <is>
          <t>有期→正規（通常）中小企業</t>
        </is>
      </c>
      <c r="C29" s="30" t="inlineStr">
        <is>
          <t>40万円／人　（第1期のみ）</t>
        </is>
      </c>
    </row>
    <row r="30" ht="20" customHeight="1">
      <c r="A30" s="19" t="inlineStr"/>
      <c r="B30" s="29" t="inlineStr">
        <is>
          <t>有期→正規（重点支援）中小企業</t>
        </is>
      </c>
      <c r="C30" s="30" t="inlineStr">
        <is>
          <t>80万円／人　（第1期40万 + 第2期40万）</t>
        </is>
      </c>
    </row>
    <row r="31" ht="20" customHeight="1">
      <c r="A31" s="19" t="inlineStr"/>
      <c r="B31" s="29" t="inlineStr">
        <is>
          <t>有期→正規（通常）大企業</t>
        </is>
      </c>
      <c r="C31" s="30" t="inlineStr">
        <is>
          <t>30万円／人　（第1期のみ）</t>
        </is>
      </c>
    </row>
    <row r="32" ht="20" customHeight="1">
      <c r="A32" s="19" t="inlineStr"/>
      <c r="B32" s="29" t="inlineStr">
        <is>
          <t>有期→正規（重点支援）大企業</t>
        </is>
      </c>
      <c r="C32" s="30" t="inlineStr">
        <is>
          <t>60万円／人　（第1期30万 + 第2期30万）</t>
        </is>
      </c>
    </row>
    <row r="33" ht="20" customHeight="1">
      <c r="A33" s="19" t="inlineStr"/>
      <c r="B33" s="29" t="inlineStr">
        <is>
          <t>無期→正規（通常）中小企業</t>
        </is>
      </c>
      <c r="C33" s="30" t="inlineStr">
        <is>
          <t>20万円／人　（第1期のみ）</t>
        </is>
      </c>
    </row>
    <row r="34" ht="20" customHeight="1">
      <c r="A34" s="19" t="inlineStr"/>
      <c r="B34" s="29" t="inlineStr">
        <is>
          <t>無期→正規（重点支援）中小企業</t>
        </is>
      </c>
      <c r="C34" s="30" t="inlineStr">
        <is>
          <t>40万円／人　（第1期20万 + 第2期20万）</t>
        </is>
      </c>
    </row>
    <row r="35" ht="20" customHeight="1">
      <c r="A35" s="19" t="inlineStr"/>
      <c r="B35" s="29" t="inlineStr">
        <is>
          <t>派遣→正規 中小企業</t>
        </is>
      </c>
      <c r="C35" s="30" t="inlineStr">
        <is>
          <t>80万円／人　（派遣は全員重点支援扱い）</t>
        </is>
      </c>
    </row>
    <row r="36" ht="20" customHeight="1">
      <c r="A36" s="19" t="inlineStr"/>
      <c r="B36" s="29" t="inlineStr">
        <is>
          <t>情報公表加算（新設）中小企業</t>
        </is>
      </c>
      <c r="C36" s="30" t="inlineStr">
        <is>
          <t>20万円／人　自社HPまたは職場情報総合サイトで転換情報を公表した場合</t>
        </is>
      </c>
    </row>
    <row r="37" ht="20" customHeight="1">
      <c r="A37" s="19" t="inlineStr"/>
      <c r="B37" s="29" t="inlineStr">
        <is>
          <t>情報公表加算（新設）大企業</t>
        </is>
      </c>
      <c r="C37" s="30" t="inlineStr">
        <is>
          <t>15万円／人</t>
        </is>
      </c>
    </row>
    <row r="39">
      <c r="A39" s="32" t="inlineStr">
        <is>
          <t>※ 要件・助成額は法改正により変更となる場合があります。申請前に必ず厚生労働省の最新資料をご確認ください。</t>
        </is>
      </c>
    </row>
  </sheetData>
  <mergeCells count="7">
    <mergeCell ref="A1:D1"/>
    <mergeCell ref="A28:C28"/>
    <mergeCell ref="A11:C11"/>
    <mergeCell ref="A22:C22"/>
    <mergeCell ref="A3:C3"/>
    <mergeCell ref="A39:C3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2026-05-18T08:47:06Z</dcterms:created>
  <dcterms:modified xsi:type="dcterms:W3CDTF">2026-05-18T08:47:06Z</dcterms:modified>
</cp:coreProperties>
</file>