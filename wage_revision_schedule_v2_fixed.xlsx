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30936" windowHeight="16776" tabRatio="600" firstSheet="0" activeTab="1" autoFilterDateGrouping="1"/>
  </bookViews>
  <sheets>
    <sheet name="概要・使い方" sheetId="1" state="visible" r:id="rId1"/>
    <sheet name="自動日付シミュレーター" sheetId="2" state="visible" r:id="rId2"/>
    <sheet name="年間スケジュール＆進捗管理" sheetId="3" state="visible" r:id="rId3"/>
    <sheet name="昇給率・助成額計算" sheetId="4" state="visible" r:id="rId4"/>
    <sheet name="申請要件＆不支給防止チェック" sheetId="5" state="visible" r:id="rId5"/>
  </sheets>
  <definedNames/>
  <calcPr calcId="191029" fullCalcOnLoad="1"/>
</workbook>
</file>

<file path=xl/styles.xml><?xml version="1.0" encoding="utf-8"?>
<styleSheet xmlns="http://schemas.openxmlformats.org/spreadsheetml/2006/main">
  <numFmts count="4">
    <numFmt numFmtId="164" formatCode="yyyy\-mm\-dd"/>
    <numFmt numFmtId="165" formatCode="0.0%"/>
    <numFmt numFmtId="166" formatCode="#,##0&quot;名&quot;"/>
    <numFmt numFmtId="167" formatCode="\¥#,##0"/>
  </numFmts>
  <fonts count="10">
    <font>
      <name val="ＭＳ Ｐゴシック"/>
      <family val="2"/>
      <color theme="1"/>
      <sz val="11"/>
      <scheme val="minor"/>
    </font>
    <font>
      <name val="Meiryo"/>
      <charset val="128"/>
      <family val="3"/>
      <b val="1"/>
      <color rgb="FF1F497D"/>
      <sz val="16"/>
    </font>
    <font>
      <name val="Meiryo"/>
      <charset val="128"/>
      <family val="3"/>
      <i val="1"/>
      <color rgb="FF595959"/>
      <sz val="10"/>
    </font>
    <font>
      <name val="Meiryo"/>
      <charset val="128"/>
      <family val="3"/>
      <b val="1"/>
      <sz val="10"/>
    </font>
    <font>
      <name val="Meiryo"/>
      <charset val="128"/>
      <family val="3"/>
      <sz val="10"/>
    </font>
    <font>
      <name val="Meiryo"/>
      <charset val="128"/>
      <family val="3"/>
      <b val="1"/>
      <color rgb="FFFFFFFF"/>
      <sz val="10"/>
    </font>
    <font>
      <name val="Meiryo"/>
      <charset val="128"/>
      <family val="3"/>
      <b val="1"/>
      <color rgb="FFFFFFFF"/>
      <sz val="11"/>
    </font>
    <font>
      <name val="Meiryo"/>
      <charset val="128"/>
      <family val="3"/>
      <color rgb="FF595959"/>
      <sz val="9"/>
    </font>
    <font>
      <name val="Meiryo"/>
      <charset val="128"/>
      <family val="3"/>
      <b val="1"/>
      <color rgb="FFC00000"/>
      <sz val="10"/>
    </font>
    <font>
      <name val="ＭＳ Ｐゴシック"/>
      <charset val="128"/>
      <family val="3"/>
      <sz val="6"/>
      <scheme val="minor"/>
    </font>
  </fonts>
  <fills count="7">
    <fill>
      <patternFill/>
    </fill>
    <fill>
      <patternFill patternType="gray125"/>
    </fill>
    <fill>
      <patternFill patternType="solid">
        <fgColor rgb="FF2F5496"/>
        <bgColor rgb="FF2F5496"/>
      </patternFill>
    </fill>
    <fill>
      <patternFill patternType="solid">
        <fgColor rgb="FFDCE6F1"/>
        <bgColor rgb="FFDCE6F1"/>
      </patternFill>
    </fill>
    <fill>
      <patternFill patternType="solid">
        <fgColor rgb="FFE2EFDA"/>
        <bgColor rgb="FFE2EFDA"/>
      </patternFill>
    </fill>
    <fill>
      <patternFill patternType="solid">
        <fgColor rgb="FFFCE4D6"/>
        <bgColor rgb="FFFCE4D6"/>
      </patternFill>
    </fill>
    <fill>
      <patternFill patternType="solid">
        <fgColor rgb="FF4472C4"/>
        <bgColor rgb="FF4472C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xf>
    <xf numFmtId="0" fontId="0" fillId="0" borderId="1" applyAlignment="1" pivotButton="0" quotePrefix="0" xfId="0">
      <alignment horizontal="center"/>
    </xf>
    <xf numFmtId="0" fontId="3" fillId="0" borderId="1" pivotButton="0" quotePrefix="0" xfId="0"/>
    <xf numFmtId="0" fontId="4" fillId="0" borderId="1" pivotButton="0" quotePrefix="0" xfId="0"/>
    <xf numFmtId="0" fontId="3" fillId="3" borderId="1" applyAlignment="1" pivotButton="0" quotePrefix="0" xfId="0">
      <alignment horizontal="center"/>
    </xf>
    <xf numFmtId="0" fontId="3" fillId="4" borderId="1" applyAlignment="1" pivotButton="0" quotePrefix="0" xfId="0">
      <alignment horizontal="center"/>
    </xf>
    <xf numFmtId="0" fontId="3" fillId="5" borderId="1" applyAlignment="1" pivotButton="0" quotePrefix="0" xfId="0">
      <alignment horizontal="center"/>
    </xf>
    <xf numFmtId="0" fontId="3" fillId="3" borderId="1" applyAlignment="1" pivotButton="0" quotePrefix="0" xfId="0">
      <alignment horizontal="left"/>
    </xf>
    <xf numFmtId="0" fontId="7" fillId="0" borderId="1" applyAlignment="1" pivotButton="0" quotePrefix="0" xfId="0">
      <alignment horizontal="center"/>
    </xf>
    <xf numFmtId="0" fontId="7" fillId="0" borderId="1" pivotButton="0" quotePrefix="0" xfId="0"/>
    <xf numFmtId="164" fontId="3" fillId="3" borderId="1" applyAlignment="1" pivotButton="0" quotePrefix="0" xfId="0">
      <alignment horizontal="center"/>
    </xf>
    <xf numFmtId="3" fontId="3" fillId="3" borderId="1" applyAlignment="1" pivotButton="0" quotePrefix="0" xfId="0">
      <alignment horizontal="center"/>
    </xf>
    <xf numFmtId="164" fontId="3" fillId="4" borderId="1" applyAlignment="1" pivotButton="0" quotePrefix="0" xfId="0">
      <alignment horizontal="left"/>
    </xf>
    <xf numFmtId="0" fontId="8" fillId="5" borderId="1" applyAlignment="1" pivotButton="0" quotePrefix="0" xfId="0">
      <alignment horizontal="center"/>
    </xf>
    <xf numFmtId="164" fontId="3" fillId="4" borderId="1" applyAlignment="1" pivotButton="0" quotePrefix="0" xfId="0">
      <alignment horizontal="center"/>
    </xf>
    <xf numFmtId="0" fontId="3" fillId="0" borderId="1" applyAlignment="1" pivotButton="0" quotePrefix="0" xfId="0">
      <alignment horizontal="center"/>
    </xf>
    <xf numFmtId="0" fontId="3" fillId="4" borderId="1" applyAlignment="1" pivotButton="0" quotePrefix="0" xfId="0">
      <alignment horizontal="left"/>
    </xf>
    <xf numFmtId="165" fontId="1" fillId="4" borderId="1" applyAlignment="1" pivotButton="0" quotePrefix="0" xfId="0">
      <alignment horizontal="center"/>
    </xf>
    <xf numFmtId="49" fontId="1" fillId="4" borderId="1" applyAlignment="1" pivotButton="0" quotePrefix="0" xfId="0">
      <alignment horizontal="center"/>
    </xf>
    <xf numFmtId="164" fontId="8" fillId="5" borderId="1" applyAlignment="1" pivotButton="0" quotePrefix="0" xfId="0">
      <alignment horizontal="center"/>
    </xf>
    <xf numFmtId="164" fontId="3" fillId="0" borderId="1" applyAlignment="1" pivotButton="0" quotePrefix="0" xfId="0">
      <alignment horizontal="center"/>
    </xf>
    <xf numFmtId="164" fontId="3" fillId="5" borderId="1" applyAlignment="1" pivotButton="0" quotePrefix="0" xfId="0">
      <alignment horizontal="center"/>
    </xf>
    <xf numFmtId="166" fontId="0" fillId="0" borderId="1" pivotButton="0" quotePrefix="0" xfId="0"/>
    <xf numFmtId="167" fontId="0" fillId="0" borderId="1" pivotButton="0" quotePrefix="0" xfId="0"/>
    <xf numFmtId="10" fontId="0" fillId="0" borderId="1" pivotButton="0" quotePrefix="0" xfId="0"/>
    <xf numFmtId="167" fontId="1" fillId="4" borderId="1" applyAlignment="1" pivotButton="0" quotePrefix="0" xfId="0">
      <alignment horizontal="center"/>
    </xf>
    <xf numFmtId="167" fontId="0" fillId="3" borderId="1" pivotButton="0" quotePrefix="0" xfId="0"/>
    <xf numFmtId="167" fontId="0" fillId="4" borderId="1" pivotButton="0" quotePrefix="0" xfId="0"/>
    <xf numFmtId="10" fontId="0" fillId="4" borderId="1" pivotButton="0" quotePrefix="0" xfId="0"/>
    <xf numFmtId="0" fontId="6" fillId="6" borderId="0" applyAlignment="1" pivotButton="0" quotePrefix="0" xfId="0">
      <alignment horizontal="left" vertical="center" indent="1"/>
    </xf>
    <xf numFmtId="0" fontId="0" fillId="0" borderId="0" pivotButton="0" quotePrefix="0" xfId="0"/>
    <xf numFmtId="0" fontId="3" fillId="0" borderId="0" pivotButton="0" quotePrefix="0" xfId="0"/>
    <xf numFmtId="164" fontId="3" fillId="3" borderId="1" applyAlignment="1" pivotButton="0" quotePrefix="0" xfId="0">
      <alignment horizontal="center"/>
    </xf>
    <xf numFmtId="164" fontId="3" fillId="4" borderId="1" applyAlignment="1" pivotButton="0" quotePrefix="0" xfId="0">
      <alignment horizontal="left"/>
    </xf>
    <xf numFmtId="164" fontId="3" fillId="4" borderId="1" applyAlignment="1" pivotButton="0" quotePrefix="0" xfId="0">
      <alignment horizontal="center"/>
    </xf>
    <xf numFmtId="165" fontId="1" fillId="4" borderId="1" applyAlignment="1" pivotButton="0" quotePrefix="0" xfId="0">
      <alignment horizontal="center"/>
    </xf>
    <xf numFmtId="164" fontId="8" fillId="5" borderId="1" applyAlignment="1" pivotButton="0" quotePrefix="0" xfId="0">
      <alignment horizontal="center"/>
    </xf>
    <xf numFmtId="164" fontId="3" fillId="0" borderId="1" applyAlignment="1" pivotButton="0" quotePrefix="0" xfId="0">
      <alignment horizontal="center"/>
    </xf>
    <xf numFmtId="164" fontId="0" fillId="0" borderId="1" applyAlignment="1" pivotButton="0" quotePrefix="0" xfId="0">
      <alignment horizontal="center"/>
    </xf>
    <xf numFmtId="164" fontId="3" fillId="5" borderId="1" applyAlignment="1" pivotButton="0" quotePrefix="0" xfId="0">
      <alignment horizontal="center"/>
    </xf>
    <xf numFmtId="166" fontId="0" fillId="0" borderId="1" pivotButton="0" quotePrefix="0" xfId="0"/>
    <xf numFmtId="167" fontId="0" fillId="0" borderId="1" pivotButton="0" quotePrefix="0" xfId="0"/>
    <xf numFmtId="167" fontId="1" fillId="4" borderId="1" applyAlignment="1" pivotButton="0" quotePrefix="0" xfId="0">
      <alignment horizontal="center"/>
    </xf>
    <xf numFmtId="167" fontId="0" fillId="3" borderId="1" pivotButton="0" quotePrefix="0" xfId="0"/>
    <xf numFmtId="167" fontId="0" fillId="4" borderId="1"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21"/>
  <sheetViews>
    <sheetView workbookViewId="0">
      <selection activeCell="A1" sqref="A1"/>
    </sheetView>
  </sheetViews>
  <sheetFormatPr baseColWidth="8" defaultRowHeight="13.2"/>
  <sheetData>
    <row r="2" ht="26.4" customHeight="1" s="35">
      <c r="B2" s="1" t="inlineStr">
        <is>
          <t>キャリアアップ助成金（賃金規定等改定コース）年間スケジュール＆実務統合ツール</t>
        </is>
      </c>
    </row>
    <row r="3" ht="16.2" customHeight="1" s="35">
      <c r="B3" s="2" t="inlineStr">
        <is>
          <t>【実務完全動的追従版 v2】 賃金改定日・給与締切／支払日を入力するだけで全工程のスケジュール・申請期限・昇給率を自動試算</t>
        </is>
      </c>
    </row>
    <row r="5" ht="16.2" customHeight="1" s="35">
      <c r="B5" s="36" t="inlineStr">
        <is>
          <t>■ 本ツールの特徴と使い方</t>
        </is>
      </c>
    </row>
    <row r="6" ht="16.2" customHeight="1" s="35">
      <c r="B6" s="36" t="inlineStr">
        <is>
          <t>1. 完全に動的な日付算定ロジック</t>
        </is>
      </c>
      <c r="C6" s="4" t="inlineStr">
        <is>
          <t>「自動日付シミュレーター」タブで「賃金改定日(C9)」「給与締切日(C10)」「給与支払日(C12)」を変更すると、申請期限までの全タスクが完全自動で計算・連動します。</t>
        </is>
      </c>
    </row>
    <row r="7" ht="16.2" customHeight="1" s="35">
      <c r="B7" s="36" t="inlineStr">
        <is>
          <t>2. 給与締め日・支払日パターンの網羅</t>
        </is>
      </c>
      <c r="C7" s="4" t="inlineStr">
        <is>
          <t>「20日締め翌月10日払い」「月末締め翌月15日払い」など自社の給与サイクルに合わせて正確に6か月間の賃金起算・支給日を判定します。</t>
        </is>
      </c>
    </row>
    <row r="8" ht="16.2" customHeight="1" s="35">
      <c r="B8" s="36" t="inlineStr">
        <is>
          <t>3. 昇給率（3.0%）および助成額の自動シミュレーション</t>
        </is>
      </c>
      <c r="C8" s="4" t="inlineStr">
        <is>
          <t>「昇給率・助成額計算」タブにて、従業員ごとの改定前後の基本給から、端数処理エラー（2.99%で不支給となる罠）を防止し適合判定を行います。</t>
        </is>
      </c>
    </row>
    <row r="9" ht="16.2" customHeight="1" s="35">
      <c r="B9" s="36" t="inlineStr">
        <is>
          <t>4. 全20タスクの年間スケジュール連動</t>
        </is>
      </c>
      <c r="C9" s="4" t="inlineStr">
        <is>
          <t>改定日・申請期限に基づき、「事前準備」「計画提出」「就業規則届出」「6か月給与運用」「支給申請」までの予定日が自動更新されます。</t>
        </is>
      </c>
    </row>
    <row r="11" ht="16.2" customHeight="1" s="35">
      <c r="B11" s="36" t="inlineStr">
        <is>
          <t>■ ワークブックの構成</t>
        </is>
      </c>
    </row>
    <row r="12" ht="16.2" customHeight="1" s="35">
      <c r="B12" s="5" t="inlineStr">
        <is>
          <t>No.</t>
        </is>
      </c>
      <c r="C12" s="5" t="inlineStr">
        <is>
          <t>シート名</t>
        </is>
      </c>
      <c r="D12" s="5" t="inlineStr">
        <is>
          <t>主要機能と目的</t>
        </is>
      </c>
    </row>
    <row r="13" ht="16.2" customHeight="1" s="35">
      <c r="B13" s="6" t="n">
        <v>1</v>
      </c>
      <c r="C13" s="7" t="inlineStr">
        <is>
          <t>自動日付シミュレーター</t>
        </is>
      </c>
      <c r="D13" s="8" t="inlineStr">
        <is>
          <t>改定日・締め／支払日を入力し、計画提出期限、1〜6か月目給与日、支給申請最終期限等の法定期限を完全自動算出</t>
        </is>
      </c>
    </row>
    <row r="14" ht="16.2" customHeight="1" s="35">
      <c r="B14" s="6" t="n">
        <v>2</v>
      </c>
      <c r="C14" s="7" t="inlineStr">
        <is>
          <t>年間スケジュール＆進捗管理</t>
        </is>
      </c>
      <c r="D14" s="8" t="inlineStr">
        <is>
          <t>シミュレーターの日付に全タスク（T-01〜T-20）が100%自動連動。担当者・予定／実績日・進行ステータスを一括管理</t>
        </is>
      </c>
    </row>
    <row r="15" ht="16.2" customHeight="1" s="35">
      <c r="B15" s="6" t="n">
        <v>3</v>
      </c>
      <c r="C15" s="7" t="inlineStr">
        <is>
          <t>昇給率・助成額計算</t>
        </is>
      </c>
      <c r="D15" s="8" t="inlineStr">
        <is>
          <t>対象従業員ごとの昇給前後の基本給を入力し、3.0%昇給の適合判定およびコース別助成想定額を試算</t>
        </is>
      </c>
    </row>
    <row r="16" ht="16.2" customHeight="1" s="35">
      <c r="B16" s="6" t="n">
        <v>4</v>
      </c>
      <c r="C16" s="7" t="inlineStr">
        <is>
          <t>申請要件＆不支給防止チェック</t>
        </is>
      </c>
      <c r="D16" s="8" t="inlineStr">
        <is>
          <t>労働局審査で一発却下（不支給）とならないための8大必須確認項目と提出添付書類のチェックリスト</t>
        </is>
      </c>
    </row>
    <row r="18" ht="16.2" customHeight="1" s="35">
      <c r="B18" s="36" t="inlineStr">
        <is>
          <t>■ セルの配色ルール（凡例）</t>
        </is>
      </c>
    </row>
    <row r="19" ht="16.2" customHeight="1" s="35">
      <c r="B19" s="9" t="inlineStr">
        <is>
          <t>入力セル（青色）</t>
        </is>
      </c>
      <c r="C19" s="8" t="inlineStr">
        <is>
          <t>ユーザーが自社の予定・数値を直接入力するセル</t>
        </is>
      </c>
    </row>
    <row r="20" ht="16.2" customHeight="1" s="35">
      <c r="B20" s="10" t="inlineStr">
        <is>
          <t>自動計算セル（緑色）</t>
        </is>
      </c>
      <c r="C20" s="8" t="inlineStr">
        <is>
          <t>数式により完全自動算出されるセル（直接編集不要）</t>
        </is>
      </c>
    </row>
    <row r="21" ht="16.2" customHeight="1" s="35">
      <c r="B21" s="11" t="inlineStr">
        <is>
          <t>注意・警告（オレンジ）</t>
        </is>
      </c>
      <c r="C21" s="8" t="inlineStr">
        <is>
          <t>1日でも遅れると不支給となる法定期限・危険アラート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28"/>
  <sheetViews>
    <sheetView tabSelected="1" workbookViewId="0">
      <selection activeCell="C27" sqref="C27"/>
    </sheetView>
  </sheetViews>
  <sheetFormatPr baseColWidth="8" defaultRowHeight="13.2"/>
  <cols>
    <col width="38" customWidth="1" style="35" min="2" max="2"/>
    <col width="28" customWidth="1" style="35" min="3" max="3"/>
    <col width="24" customWidth="1" style="35" min="4" max="4"/>
    <col width="45" customWidth="1" style="35" min="5" max="5"/>
    <col width="35" customWidth="1" style="35" min="6" max="6"/>
  </cols>
  <sheetData>
    <row r="2" ht="26.4" customHeight="1" s="35">
      <c r="B2" s="1" t="inlineStr">
        <is>
          <t>賃金規定等改定コース：自動日付＆法定期限シミュレーター</t>
        </is>
      </c>
    </row>
    <row r="3" ht="16.2" customHeight="1" s="35">
      <c r="B3" s="2" t="inlineStr">
        <is>
          <t>※青色のセル（C7〜C13）に自社の前提条件を入力してください。全体の全スケジュールおよび最終申請期限が数式で完全連動します。</t>
        </is>
      </c>
    </row>
    <row r="5" ht="17.4" customHeight="1" s="35">
      <c r="B5" s="34" t="inlineStr">
        <is>
          <t>1. 自社の基本前提条件の入力（入力エリア）</t>
        </is>
      </c>
    </row>
    <row r="6" ht="16.2" customHeight="1" s="35">
      <c r="B6" s="5" t="inlineStr">
        <is>
          <t>設定項目</t>
        </is>
      </c>
      <c r="C6" s="5" t="inlineStr">
        <is>
          <t>入力値</t>
        </is>
      </c>
      <c r="D6" s="5" t="inlineStr">
        <is>
          <t>単位 / 選択基準</t>
        </is>
      </c>
      <c r="E6" s="5" t="inlineStr">
        <is>
          <t>要件・実務上の補足説明</t>
        </is>
      </c>
      <c r="F6" s="5" t="inlineStr">
        <is>
          <t>入力例・選択肢</t>
        </is>
      </c>
    </row>
    <row r="7" ht="16.2" customHeight="1" s="35">
      <c r="B7" s="7" t="inlineStr">
        <is>
          <t>事業所名</t>
        </is>
      </c>
      <c r="C7" s="12" t="inlineStr">
        <is>
          <t>株式会社サンプル商事</t>
        </is>
      </c>
      <c r="D7" s="13" t="inlineStr">
        <is>
          <t>文字列</t>
        </is>
      </c>
      <c r="E7" s="8" t="inlineStr">
        <is>
          <t>申請を行う事業主・企業名</t>
        </is>
      </c>
      <c r="F7" s="14" t="inlineStr">
        <is>
          <t>例：〇〇株式会社</t>
        </is>
      </c>
    </row>
    <row r="8" ht="16.2" customHeight="1" s="35">
      <c r="B8" s="7" t="inlineStr">
        <is>
          <t>企業規模区分</t>
        </is>
      </c>
      <c r="C8" s="12" t="inlineStr">
        <is>
          <t>中小企業</t>
        </is>
      </c>
      <c r="D8" s="13" t="inlineStr">
        <is>
          <t>選択</t>
        </is>
      </c>
      <c r="E8" s="8" t="inlineStr">
        <is>
          <t>中小企業：1名あたり6.5万〜 / 大企業：1名あたり4.8万〜</t>
        </is>
      </c>
      <c r="F8" s="14" t="inlineStr">
        <is>
          <t>中小企業 / 大企業</t>
        </is>
      </c>
    </row>
    <row r="9" ht="16.2" customHeight="1" s="35">
      <c r="B9" s="7" t="inlineStr">
        <is>
          <t>賃金規程等の改定（施行）日</t>
        </is>
      </c>
      <c r="C9" s="37" t="n">
        <v>46113</v>
      </c>
      <c r="D9" s="13" t="inlineStr">
        <is>
          <t>日付 (YYYY-MM-DD)</t>
        </is>
      </c>
      <c r="E9" s="8" t="inlineStr">
        <is>
          <t>新基本給テーブルが適用（施行）される初日</t>
        </is>
      </c>
      <c r="F9" s="14" t="inlineStr">
        <is>
          <t>2026-04-01</t>
        </is>
      </c>
    </row>
    <row r="10" ht="16.2" customHeight="1" s="35">
      <c r="B10" s="7" t="inlineStr">
        <is>
          <t>毎月の賃金締切日（数値）</t>
        </is>
      </c>
      <c r="C10" s="16" t="n">
        <v>30</v>
      </c>
      <c r="D10" s="13" t="inlineStr">
        <is>
          <t>数値（日）</t>
        </is>
      </c>
      <c r="E10" s="8" t="inlineStr">
        <is>
          <t>例：末日の場合は「30」、20日締めの場合は「20」</t>
        </is>
      </c>
      <c r="F10" s="14" t="inlineStr">
        <is>
          <t>末日=30, 20日=20, 15日=15</t>
        </is>
      </c>
    </row>
    <row r="11" ht="16.2" customHeight="1" s="35">
      <c r="B11" s="7" t="inlineStr">
        <is>
          <t>毎月の賃金支払月</t>
        </is>
      </c>
      <c r="C11" s="16" t="n">
        <v>1</v>
      </c>
      <c r="D11" s="13" t="inlineStr">
        <is>
          <t>数値（区分）</t>
        </is>
      </c>
      <c r="E11" s="8" t="inlineStr">
        <is>
          <t>当月払いの場合は「0」、翌月払いの場合は「1」</t>
        </is>
      </c>
      <c r="F11" s="14" t="inlineStr">
        <is>
          <t>当月払い=0, 翌月払い=1</t>
        </is>
      </c>
    </row>
    <row r="12" ht="16.2" customHeight="1" s="35">
      <c r="B12" s="7" t="inlineStr">
        <is>
          <t>毎月の賃金支払日（数値）</t>
        </is>
      </c>
      <c r="C12" s="16" t="n">
        <v>15</v>
      </c>
      <c r="D12" s="13" t="inlineStr">
        <is>
          <t>数値（日）</t>
        </is>
      </c>
      <c r="E12" s="8" t="inlineStr">
        <is>
          <t>例：15日支給は「15」、25日支給は「25」、末日は「30」</t>
        </is>
      </c>
      <c r="F12" s="14" t="inlineStr">
        <is>
          <t>15, 20, 25, 30(末日)</t>
        </is>
      </c>
    </row>
    <row r="13" ht="16.2" customHeight="1" s="35">
      <c r="B13" s="7" t="inlineStr">
        <is>
          <t>対象労働者数</t>
        </is>
      </c>
      <c r="C13" s="16" t="n">
        <v>5</v>
      </c>
      <c r="D13" s="13" t="inlineStr">
        <is>
          <t>名</t>
        </is>
      </c>
      <c r="E13" s="8" t="inlineStr">
        <is>
          <t>基本給を3.0%以上引き上げる対象者数（最大100名まで）</t>
        </is>
      </c>
      <c r="F13" s="14" t="inlineStr">
        <is>
          <t>半角数字（例: 5）</t>
        </is>
      </c>
    </row>
    <row r="15" ht="17.4" customHeight="1" s="35">
      <c r="B15" s="34" t="inlineStr">
        <is>
          <t>2. スケジュール＆法定重要期限の自動算出結果（数式完全連動）</t>
        </is>
      </c>
    </row>
    <row r="16" ht="16.2" customHeight="1" s="35">
      <c r="B16" s="5" t="inlineStr">
        <is>
          <t>フェーズ・重要マイルストーン</t>
        </is>
      </c>
      <c r="C16" s="5" t="inlineStr">
        <is>
          <t>自動算出予定年月日 / 期間</t>
        </is>
      </c>
      <c r="D16" s="5" t="inlineStr">
        <is>
          <t>期限種別・注意度</t>
        </is>
      </c>
      <c r="E16" s="5" t="inlineStr">
        <is>
          <t>実務上の絶対ルール・不支給回避対策</t>
        </is>
      </c>
      <c r="F16" s="5" t="inlineStr">
        <is>
          <t>数式連動ロジックの説明</t>
        </is>
      </c>
    </row>
    <row r="17" ht="16.2" customHeight="1" s="35">
      <c r="B17" s="7" t="inlineStr">
        <is>
          <t>キャリアアップ計画書 提出期限</t>
        </is>
      </c>
      <c r="C17" s="38">
        <f>C9-1</f>
        <v/>
      </c>
      <c r="D17" s="18" t="inlineStr">
        <is>
          <t>【絶対期限】改定前日</t>
        </is>
      </c>
      <c r="E17" s="8" t="inlineStr">
        <is>
          <t>改定日（C9）の「前日」までに管轄労働局へ届出・受理が必須（当日は不支給）</t>
        </is>
      </c>
      <c r="F17" s="14" t="inlineStr">
        <is>
          <t>改定施行日の前日 (=C9-1)</t>
        </is>
      </c>
    </row>
    <row r="18" ht="16.2" customHeight="1" s="35">
      <c r="B18" s="7" t="inlineStr">
        <is>
          <t>改定前規程の実績確認期間（開始目安）</t>
        </is>
      </c>
      <c r="C18" s="39">
        <f>EDATE(C9,-3)</f>
        <v/>
      </c>
      <c r="D18" s="20" t="inlineStr">
        <is>
          <t>確認要件（3か月前）</t>
        </is>
      </c>
      <c r="E18" s="8" t="inlineStr">
        <is>
          <t>改定前の賃金規程等に基づき「3か月以上」適正に賃金が支払われている実績が必要</t>
        </is>
      </c>
      <c r="F18" s="14" t="inlineStr">
        <is>
          <t>改定施行日の3か月前 (=EDATE(C9,-3))</t>
        </is>
      </c>
    </row>
    <row r="19" ht="16.2" customHeight="1" s="35">
      <c r="B19" s="7" t="inlineStr">
        <is>
          <t>賃金規程等の増額改定（施行）日</t>
        </is>
      </c>
      <c r="C19" s="38">
        <f>C9</f>
        <v/>
      </c>
      <c r="D19" s="20" t="inlineStr">
        <is>
          <t>改定施行日</t>
        </is>
      </c>
      <c r="E19" s="8" t="inlineStr">
        <is>
          <t>全対象者の基本給テーブルを3.0%以上引き上げて適用開始</t>
        </is>
      </c>
      <c r="F19" s="14" t="inlineStr">
        <is>
          <t>入力セルC9を参照</t>
        </is>
      </c>
    </row>
    <row r="20" ht="16.2" customHeight="1" s="35">
      <c r="B20" s="7" t="inlineStr">
        <is>
          <t>就業規則（賃金規程）労基署届出</t>
        </is>
      </c>
      <c r="C20" s="38">
        <f>C9</f>
        <v/>
      </c>
      <c r="D20" s="20" t="inlineStr">
        <is>
          <t>施行日と同日推奨</t>
        </is>
      </c>
      <c r="E20" s="8" t="inlineStr">
        <is>
          <t>変更届・労働者代表の意見書を添えて受領印を受領（10人未満も届出推奨）</t>
        </is>
      </c>
      <c r="F20" s="14" t="inlineStr">
        <is>
          <t>改定施行日と同日</t>
        </is>
      </c>
    </row>
    <row r="21" ht="16.2" customHeight="1" s="35">
      <c r="B21" s="7" t="inlineStr">
        <is>
          <t>1か月目 給与計算対象期間</t>
        </is>
      </c>
      <c r="C21" s="21">
        <f>TEXT(IF(C10=30,DATE(YEAR(C9),MONTH(C9),1),DATE(YEAR(C9),MONTH(C9)-1,C10+1)),"yyyy/mm/dd")&amp;" ～ "&amp;TEXT(IF(C10=30,EOMONTH(C9,0),DATE(YEAR(C9),MONTH(C9),C10)),"yyyy/mm/dd")</f>
        <v/>
      </c>
      <c r="D21" s="20" t="inlineStr">
        <is>
          <t>実働実績期間</t>
        </is>
      </c>
      <c r="E21" s="8" t="inlineStr">
        <is>
          <t>改定後最初の給与計算期間。各月11日以上の実働日数が必要</t>
        </is>
      </c>
      <c r="F21" s="14" t="inlineStr">
        <is>
          <t>締切日設定に基づく初月計算期間</t>
        </is>
      </c>
    </row>
    <row r="22" ht="16.2" customHeight="1" s="35">
      <c r="B22" s="7" t="inlineStr">
        <is>
          <t>1か月目 賃金支給日（改定後初給与）</t>
        </is>
      </c>
      <c r="C22" s="39">
        <f>IF(C10=30, IF(C12=30, EOMONTH(C9,C11), DATE(YEAR(C9),MONTH(C9)+C11,C12)), IF(C12=30, EOMONTH(DATE(YEAR(C9),MONTH(C9),C10),C11), DATE(YEAR(C9),MONTH(C9)+C11,C12)))</f>
        <v/>
      </c>
      <c r="D22" s="20" t="inlineStr">
        <is>
          <t>実績確定日</t>
        </is>
      </c>
      <c r="E22" s="8" t="inlineStr">
        <is>
          <t>改定後の新基本給が実際に最初に振り込まれる支給日</t>
        </is>
      </c>
      <c r="F22" s="14" t="inlineStr">
        <is>
          <t>改定初月の締日・支払日に基づく自動計算</t>
        </is>
      </c>
    </row>
    <row r="23" ht="16.2" customHeight="1" s="35">
      <c r="B23" s="7" t="inlineStr">
        <is>
          <t>6か月目 給与計算対象期間</t>
        </is>
      </c>
      <c r="C23" s="10">
        <f>TEXT(IF(C10=30,DATE(YEAR(EDATE(C9,5)),MONTH(EDATE(C9,5)),1),DATE(YEAR(EDATE(C9,5)),MONTH(EDATE(C9,5))-1,C10+1)),"yyyy/mm/dd")&amp;" ～ "&amp;TEXT(IF(C10=30,EOMONTH(EDATE(C9,5),0),DATE(YEAR(EDATE(C9,5)),MONTH(EDATE(C9,5)),C10)),"yyyy/mm/dd")</f>
        <v/>
      </c>
      <c r="D23" s="20" t="inlineStr">
        <is>
          <t>実働実績期間</t>
        </is>
      </c>
      <c r="E23" s="8" t="inlineStr">
        <is>
          <t>改定後6か月目の給与対象期間。全6か月間ともに月11日以上勤務必須</t>
        </is>
      </c>
      <c r="F23" s="14" t="inlineStr">
        <is>
          <t>1か月目の5か月後の計算期間</t>
        </is>
      </c>
    </row>
    <row r="24" ht="16.2" customHeight="1" s="35">
      <c r="B24" s="7" t="inlineStr">
        <is>
          <t>6か月目 賃金支給日（申請起算日）</t>
        </is>
      </c>
      <c r="C24" s="39">
        <f>EDATE(C22, 5)</f>
        <v/>
      </c>
      <c r="D24" s="18" t="inlineStr">
        <is>
          <t>【重要】起算確定日</t>
        </is>
      </c>
      <c r="E24" s="8" t="inlineStr">
        <is>
          <t>改定後6か月目の賃金が支給された日。この翌日が申請受付の起算日</t>
        </is>
      </c>
      <c r="F24" s="14" t="inlineStr">
        <is>
          <t>1か月目支給日(C22)の5か月後</t>
        </is>
      </c>
    </row>
    <row r="25" ht="16.2" customHeight="1" s="35">
      <c r="B25" s="7" t="inlineStr">
        <is>
          <t>支給申請 受付開始日</t>
        </is>
      </c>
      <c r="C25" s="38">
        <f>C24+1</f>
        <v/>
      </c>
      <c r="D25" s="20" t="inlineStr">
        <is>
          <t>申請受付開始</t>
        </is>
      </c>
      <c r="E25" s="8" t="inlineStr">
        <is>
          <t>6か月目賃金支給日の「翌日」より労働局への支給申請受付がスタート</t>
        </is>
      </c>
      <c r="F25" s="14" t="inlineStr">
        <is>
          <t>6か月目支給日(C24)の翌日</t>
        </is>
      </c>
    </row>
    <row r="26" ht="16.2" customHeight="1" s="35">
      <c r="B26" s="7" t="inlineStr">
        <is>
          <t>支給申請 最終提出期限</t>
        </is>
      </c>
      <c r="C26" s="39">
        <f>EDATE(C24, 2)</f>
        <v/>
      </c>
      <c r="D26" s="18" t="inlineStr">
        <is>
          <t>【絶対厳守】2か月以内</t>
        </is>
      </c>
      <c r="E26" s="8" t="inlineStr">
        <is>
          <t>6か月目支給日の翌日から起算して2か月以内。1日でも遅れると一発不支給</t>
        </is>
      </c>
      <c r="F26" s="14" t="inlineStr">
        <is>
          <t>6か月目支給日(C24)の2か月後</t>
        </is>
      </c>
    </row>
    <row r="27" ht="16.2" customHeight="1" s="35">
      <c r="B27" s="7" t="inlineStr">
        <is>
          <t>労働局審査・補正対応期間（想定）</t>
        </is>
      </c>
      <c r="C27" s="10">
        <f>TEXT(C26+1,"yyyy/mm/dd")&amp;" ～ "&amp;TEXT(EDATE(C26,4),"yyyy/mm/dd")</f>
        <v/>
      </c>
      <c r="D27" s="20" t="inlineStr">
        <is>
          <t>標準審査期間</t>
        </is>
      </c>
      <c r="E27" s="8" t="inlineStr">
        <is>
          <t>出勤簿、賃金台帳、労働条件通知書、就業規則等の原本照合および審査対応</t>
        </is>
      </c>
      <c r="F27" s="14" t="inlineStr">
        <is>
          <t>申請期限翌日〜約4か月間</t>
        </is>
      </c>
    </row>
    <row r="28" ht="16.2" customHeight="1" s="35">
      <c r="B28" s="7" t="inlineStr">
        <is>
          <t>助成金 口座振込見込時期</t>
        </is>
      </c>
      <c r="C28" s="39">
        <f>EDATE(C26, 5)</f>
        <v/>
      </c>
      <c r="D28" s="20" t="inlineStr">
        <is>
          <t>入金予定</t>
        </is>
      </c>
      <c r="E28" s="8" t="inlineStr">
        <is>
          <t>支給決定通知書の発送後、約2〜3週間で指定口座へ振込完了</t>
        </is>
      </c>
      <c r="F28" s="14" t="inlineStr">
        <is>
          <t>申請期限の約5か月後</t>
        </is>
      </c>
    </row>
  </sheetData>
  <mergeCells count="2">
    <mergeCell ref="B15:F15"/>
    <mergeCell ref="B5:F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29"/>
  <sheetViews>
    <sheetView workbookViewId="0">
      <selection activeCell="A1" sqref="A1"/>
    </sheetView>
  </sheetViews>
  <sheetFormatPr baseColWidth="8" defaultRowHeight="13.2"/>
  <cols>
    <col width="12" customWidth="1" style="35" min="2" max="2"/>
    <col width="18" customWidth="1" style="35" min="3" max="3"/>
    <col width="42" customWidth="1" style="35" min="4" max="4"/>
    <col width="16" customWidth="1" style="35" min="5" max="5"/>
    <col width="22" customWidth="1" style="35" min="6" max="7"/>
    <col width="16" customWidth="1" style="35" min="8" max="9"/>
  </cols>
  <sheetData>
    <row r="2" ht="26.4" customHeight="1" s="35">
      <c r="B2" s="1" t="inlineStr">
        <is>
          <t>キャリアアップ助成金（賃金規定等改定コース）全工程進捗管理タスクボード</t>
        </is>
      </c>
    </row>
    <row r="3" ht="16.2" customHeight="1" s="35">
      <c r="B3" s="2" t="inlineStr">
        <is>
          <t>※「自動日付シミュレーター」タブの入力内容に全タスクの予定開始・完了日が100%完全自動連動します。</t>
        </is>
      </c>
    </row>
    <row r="5" ht="16.2" customHeight="1" s="35">
      <c r="B5" s="36" t="inlineStr">
        <is>
          <t>【進捗ダッシュボード】</t>
        </is>
      </c>
    </row>
    <row r="6" ht="16.2" customHeight="1" s="35">
      <c r="B6" s="13" t="inlineStr">
        <is>
          <t>全体進捗率</t>
        </is>
      </c>
      <c r="D6" s="13" t="inlineStr">
        <is>
          <t>完了タスク数</t>
        </is>
      </c>
      <c r="F6" s="13" t="inlineStr">
        <is>
          <t>計画書提出期限（絶対厳守）</t>
        </is>
      </c>
      <c r="H6" s="13" t="inlineStr">
        <is>
          <t>支給申請最終期限（絶対厳守）</t>
        </is>
      </c>
    </row>
    <row r="7" ht="26.4" customHeight="1" s="35">
      <c r="B7" s="40">
        <f>COUNTIF(I10:I29,"完了")/COUNTA(B10:B29)</f>
        <v/>
      </c>
      <c r="D7" s="23">
        <f>COUNTIF(I10:I29,"完了")&amp;" / "&amp;COUNTA(B10:B29)&amp;" 件"</f>
        <v/>
      </c>
      <c r="F7" s="41">
        <f>自動日付シミュレーター!C17</f>
        <v/>
      </c>
      <c r="H7" s="41">
        <f>自動日付シミュレーター!C26</f>
        <v/>
      </c>
    </row>
    <row r="9" ht="16.2" customHeight="1" s="35">
      <c r="B9" s="5" t="inlineStr">
        <is>
          <t>タスクID</t>
        </is>
      </c>
      <c r="C9" s="5" t="inlineStr">
        <is>
          <t>フェーズ区分</t>
        </is>
      </c>
      <c r="D9" s="5" t="inlineStr">
        <is>
          <t>実施タスク・手続き項目</t>
        </is>
      </c>
      <c r="E9" s="5" t="inlineStr">
        <is>
          <t>担当者</t>
        </is>
      </c>
      <c r="F9" s="5" t="inlineStr">
        <is>
          <t>予定開始日（自動算定）</t>
        </is>
      </c>
      <c r="G9" s="5" t="inlineStr">
        <is>
          <t>予定完了日（自動算定）</t>
        </is>
      </c>
      <c r="H9" s="5" t="inlineStr">
        <is>
          <t>実績完了日</t>
        </is>
      </c>
      <c r="I9" s="5" t="inlineStr">
        <is>
          <t>進行ステータス</t>
        </is>
      </c>
    </row>
    <row r="10" ht="16.2" customHeight="1" s="35">
      <c r="B10" s="6" t="inlineStr">
        <is>
          <t>T-01</t>
        </is>
      </c>
      <c r="C10" s="7" t="inlineStr">
        <is>
          <t>1. 事前準備</t>
        </is>
      </c>
      <c r="D10" s="8" t="inlineStr">
        <is>
          <t>対象労働者の雇用要件・過去3か月賃金台帳の確認</t>
        </is>
      </c>
      <c r="E10" s="6" t="inlineStr">
        <is>
          <t>社労士/人事</t>
        </is>
      </c>
      <c r="F10" s="42">
        <f>自動日付シミュレーター!C9-60</f>
        <v/>
      </c>
      <c r="G10" s="42">
        <f>自動日付シミュレーター!C9-45</f>
        <v/>
      </c>
      <c r="H10" s="43" t="n">
        <v>46054</v>
      </c>
      <c r="I10" s="10" t="inlineStr">
        <is>
          <t>完了</t>
        </is>
      </c>
    </row>
    <row r="11" ht="16.2" customHeight="1" s="35">
      <c r="B11" s="6" t="inlineStr">
        <is>
          <t>T-02</t>
        </is>
      </c>
      <c r="C11" s="7" t="inlineStr">
        <is>
          <t>1. 事前準備</t>
        </is>
      </c>
      <c r="D11" s="8" t="inlineStr">
        <is>
          <t>新賃金テーブル作成＆3.0%以上昇給シミュレーション</t>
        </is>
      </c>
      <c r="E11" s="6" t="inlineStr">
        <is>
          <t>人事/経営</t>
        </is>
      </c>
      <c r="F11" s="42">
        <f>自動日付シミュレーター!C9-44</f>
        <v/>
      </c>
      <c r="G11" s="42">
        <f>自動日付シミュレーター!C9-30</f>
        <v/>
      </c>
      <c r="H11" s="43" t="n">
        <v>46068</v>
      </c>
      <c r="I11" s="10" t="inlineStr">
        <is>
          <t>完了</t>
        </is>
      </c>
    </row>
    <row r="12" ht="16.2" customHeight="1" s="35">
      <c r="B12" s="6" t="inlineStr">
        <is>
          <t>T-03</t>
        </is>
      </c>
      <c r="C12" s="7" t="inlineStr">
        <is>
          <t>1. 事前準備</t>
        </is>
      </c>
      <c r="D12" s="8" t="inlineStr">
        <is>
          <t>改定賃金規程（案）および新旧対照表の作成</t>
        </is>
      </c>
      <c r="E12" s="6" t="inlineStr">
        <is>
          <t>社労士</t>
        </is>
      </c>
      <c r="F12" s="42">
        <f>自動日付シミュレーター!C9-29</f>
        <v/>
      </c>
      <c r="G12" s="42">
        <f>自動日付シミュレーター!C9-15</f>
        <v/>
      </c>
      <c r="H12" s="43" t="n">
        <v>46082</v>
      </c>
      <c r="I12" s="10" t="inlineStr">
        <is>
          <t>完了</t>
        </is>
      </c>
    </row>
    <row r="13" ht="16.2" customHeight="1" s="35">
      <c r="B13" s="6" t="inlineStr">
        <is>
          <t>T-04</t>
        </is>
      </c>
      <c r="C13" s="7" t="inlineStr">
        <is>
          <t>2. 計画書提出</t>
        </is>
      </c>
      <c r="D13" s="8" t="inlineStr">
        <is>
          <t>キャリアアップ計画書の作成</t>
        </is>
      </c>
      <c r="E13" s="6" t="inlineStr">
        <is>
          <t>社労士/人事</t>
        </is>
      </c>
      <c r="F13" s="42">
        <f>自動日付シミュレーター!C9-14</f>
        <v/>
      </c>
      <c r="G13" s="42">
        <f>自動日付シミュレーター!C9-5</f>
        <v/>
      </c>
      <c r="H13" s="43" t="n">
        <v>46101</v>
      </c>
      <c r="I13" s="10" t="inlineStr">
        <is>
          <t>完了</t>
        </is>
      </c>
    </row>
    <row r="14" ht="16.2" customHeight="1" s="35">
      <c r="B14" s="6" t="inlineStr">
        <is>
          <t>T-05</t>
        </is>
      </c>
      <c r="C14" s="7" t="inlineStr">
        <is>
          <t>2. 計画書提出</t>
        </is>
      </c>
      <c r="D14" s="8" t="inlineStr">
        <is>
          <t>キャリアアップ計画書の労働局提出・受理（絶対厳守）</t>
        </is>
      </c>
      <c r="E14" s="6" t="inlineStr">
        <is>
          <t>社労士</t>
        </is>
      </c>
      <c r="F14" s="42">
        <f>自動日付シミュレーター!C9-4</f>
        <v/>
      </c>
      <c r="G14" s="44">
        <f>自動日付シミュレーター!C17</f>
        <v/>
      </c>
      <c r="H14" s="43" t="n">
        <v>46112</v>
      </c>
      <c r="I14" s="10" t="inlineStr">
        <is>
          <t>完了</t>
        </is>
      </c>
    </row>
    <row r="15" ht="16.2" customHeight="1" s="35">
      <c r="B15" s="6" t="inlineStr">
        <is>
          <t>T-06</t>
        </is>
      </c>
      <c r="C15" s="7" t="inlineStr">
        <is>
          <t>3. 規程改定</t>
        </is>
      </c>
      <c r="D15" s="8" t="inlineStr">
        <is>
          <t>改定賃金規程の施行（新基本給適用開始）</t>
        </is>
      </c>
      <c r="E15" s="6" t="inlineStr">
        <is>
          <t>全社</t>
        </is>
      </c>
      <c r="F15" s="42">
        <f>自動日付シミュレーター!C9</f>
        <v/>
      </c>
      <c r="G15" s="42">
        <f>自動日付シミュレーター!C9</f>
        <v/>
      </c>
      <c r="H15" s="43" t="n">
        <v>46113</v>
      </c>
      <c r="I15" s="10" t="inlineStr">
        <is>
          <t>完了</t>
        </is>
      </c>
    </row>
    <row r="16" ht="16.2" customHeight="1" s="35">
      <c r="B16" s="6" t="inlineStr">
        <is>
          <t>T-07</t>
        </is>
      </c>
      <c r="C16" s="7" t="inlineStr">
        <is>
          <t>3. 規程改定</t>
        </is>
      </c>
      <c r="D16" s="8" t="inlineStr">
        <is>
          <t>労働基準監督署へ就業規則変更届・意見書の届出</t>
        </is>
      </c>
      <c r="E16" s="6" t="inlineStr">
        <is>
          <t>社労士</t>
        </is>
      </c>
      <c r="F16" s="42">
        <f>自動日付シミュレーター!C9</f>
        <v/>
      </c>
      <c r="G16" s="42">
        <f>自動日付シミュレーター!C9+10</f>
        <v/>
      </c>
      <c r="H16" s="43" t="n">
        <v>46117</v>
      </c>
      <c r="I16" s="10" t="inlineStr">
        <is>
          <t>完了</t>
        </is>
      </c>
    </row>
    <row r="17" ht="16.2" customHeight="1" s="35">
      <c r="B17" s="6" t="inlineStr">
        <is>
          <t>T-08</t>
        </is>
      </c>
      <c r="C17" s="7" t="inlineStr">
        <is>
          <t>3. 規程改定</t>
        </is>
      </c>
      <c r="D17" s="8" t="inlineStr">
        <is>
          <t>全従業員への改定賃金規程の周知（掲示・書面）</t>
        </is>
      </c>
      <c r="E17" s="6" t="inlineStr">
        <is>
          <t>人事</t>
        </is>
      </c>
      <c r="F17" s="42">
        <f>自動日付シミュレーター!C9</f>
        <v/>
      </c>
      <c r="G17" s="42">
        <f>自動日付シミュレーター!C9+14</f>
        <v/>
      </c>
      <c r="H17" s="43" t="n">
        <v>46122</v>
      </c>
      <c r="I17" s="10" t="inlineStr">
        <is>
          <t>完了</t>
        </is>
      </c>
    </row>
    <row r="18" ht="16.2" customHeight="1" s="35">
      <c r="B18" s="6" t="inlineStr">
        <is>
          <t>T-09</t>
        </is>
      </c>
      <c r="C18" s="7" t="inlineStr">
        <is>
          <t>4. 6か月運用</t>
        </is>
      </c>
      <c r="D18" s="8" t="inlineStr">
        <is>
          <t>1か月目（初月）給与計算・新基本給の支給完了</t>
        </is>
      </c>
      <c r="E18" s="6" t="inlineStr">
        <is>
          <t>給与担当</t>
        </is>
      </c>
      <c r="F18" s="42">
        <f>自動日付シミュレーター!C9</f>
        <v/>
      </c>
      <c r="G18" s="42">
        <f>自動日付シミュレーター!C22</f>
        <v/>
      </c>
      <c r="H18" s="6" t="n"/>
      <c r="I18" s="11" t="inlineStr">
        <is>
          <t>進行中</t>
        </is>
      </c>
    </row>
    <row r="19" ht="16.2" customHeight="1" s="35">
      <c r="B19" s="6" t="inlineStr">
        <is>
          <t>T-10</t>
        </is>
      </c>
      <c r="C19" s="7" t="inlineStr">
        <is>
          <t>4. 6か月運用</t>
        </is>
      </c>
      <c r="D19" s="8" t="inlineStr">
        <is>
          <t>2か月目 給与計算・支給完了</t>
        </is>
      </c>
      <c r="E19" s="6" t="inlineStr">
        <is>
          <t>給与担当</t>
        </is>
      </c>
      <c r="F19" s="42">
        <f>自動日付シミュレーター!C22+1</f>
        <v/>
      </c>
      <c r="G19" s="42">
        <f>EDATE(自動日付シミュレーター!C22, 1)</f>
        <v/>
      </c>
      <c r="H19" s="6" t="n"/>
      <c r="I19" s="9" t="inlineStr">
        <is>
          <t>未着手</t>
        </is>
      </c>
    </row>
    <row r="20" ht="16.2" customHeight="1" s="35">
      <c r="B20" s="6" t="inlineStr">
        <is>
          <t>T-11</t>
        </is>
      </c>
      <c r="C20" s="7" t="inlineStr">
        <is>
          <t>4. 6か月運用</t>
        </is>
      </c>
      <c r="D20" s="8" t="inlineStr">
        <is>
          <t>3か月目 給与計算・支給完了</t>
        </is>
      </c>
      <c r="E20" s="6" t="inlineStr">
        <is>
          <t>給与担当</t>
        </is>
      </c>
      <c r="F20" s="42">
        <f>EDATE(自動日付シミュレーター!C22, 1)+1</f>
        <v/>
      </c>
      <c r="G20" s="42">
        <f>EDATE(自動日付シミュレーター!C22, 2)</f>
        <v/>
      </c>
      <c r="H20" s="6" t="n"/>
      <c r="I20" s="9" t="inlineStr">
        <is>
          <t>未着手</t>
        </is>
      </c>
    </row>
    <row r="21" ht="16.2" customHeight="1" s="35">
      <c r="B21" s="6" t="inlineStr">
        <is>
          <t>T-12</t>
        </is>
      </c>
      <c r="C21" s="7" t="inlineStr">
        <is>
          <t>4. 6か月運用</t>
        </is>
      </c>
      <c r="D21" s="8" t="inlineStr">
        <is>
          <t>4か月目 給与計算・支給完了</t>
        </is>
      </c>
      <c r="E21" s="6" t="inlineStr">
        <is>
          <t>給与担当</t>
        </is>
      </c>
      <c r="F21" s="42">
        <f>EDATE(自動日付シミュレーター!C22, 2)+1</f>
        <v/>
      </c>
      <c r="G21" s="42">
        <f>EDATE(自動日付シミュレーター!C22, 3)</f>
        <v/>
      </c>
      <c r="H21" s="6" t="n"/>
      <c r="I21" s="9" t="inlineStr">
        <is>
          <t>未着手</t>
        </is>
      </c>
    </row>
    <row r="22" ht="16.2" customHeight="1" s="35">
      <c r="B22" s="6" t="inlineStr">
        <is>
          <t>T-13</t>
        </is>
      </c>
      <c r="C22" s="7" t="inlineStr">
        <is>
          <t>4. 6か月運用</t>
        </is>
      </c>
      <c r="D22" s="8" t="inlineStr">
        <is>
          <t>5か月目 給与計算・支給完了</t>
        </is>
      </c>
      <c r="E22" s="6" t="inlineStr">
        <is>
          <t>給与担当</t>
        </is>
      </c>
      <c r="F22" s="42">
        <f>EDATE(自動日付シミュレーター!C22, 3)+1</f>
        <v/>
      </c>
      <c r="G22" s="42">
        <f>EDATE(自動日付シミュレーター!C22, 4)</f>
        <v/>
      </c>
      <c r="H22" s="6" t="n"/>
      <c r="I22" s="9" t="inlineStr">
        <is>
          <t>未着手</t>
        </is>
      </c>
    </row>
    <row r="23" ht="16.2" customHeight="1" s="35">
      <c r="B23" s="6" t="inlineStr">
        <is>
          <t>T-14</t>
        </is>
      </c>
      <c r="C23" s="7" t="inlineStr">
        <is>
          <t>4. 6か月運用</t>
        </is>
      </c>
      <c r="D23" s="8" t="inlineStr">
        <is>
          <t>6か月目 給与計算・支給完了（起算日確定）</t>
        </is>
      </c>
      <c r="E23" s="6" t="inlineStr">
        <is>
          <t>給与担当</t>
        </is>
      </c>
      <c r="F23" s="42">
        <f>EDATE(自動日付シミュレーター!C22, 4)+1</f>
        <v/>
      </c>
      <c r="G23" s="42">
        <f>自動日付シミュレーター!C24</f>
        <v/>
      </c>
      <c r="H23" s="6" t="n"/>
      <c r="I23" s="9" t="inlineStr">
        <is>
          <t>未着手</t>
        </is>
      </c>
    </row>
    <row r="24" ht="16.2" customHeight="1" s="35">
      <c r="B24" s="6" t="inlineStr">
        <is>
          <t>T-15</t>
        </is>
      </c>
      <c r="C24" s="7" t="inlineStr">
        <is>
          <t>5. 支給申請</t>
        </is>
      </c>
      <c r="D24" s="8" t="inlineStr">
        <is>
          <t>支給申請書（様式第3号）および内訳書の作成</t>
        </is>
      </c>
      <c r="E24" s="6" t="inlineStr">
        <is>
          <t>社労士</t>
        </is>
      </c>
      <c r="F24" s="42">
        <f>自動日付シミュレーター!C25</f>
        <v/>
      </c>
      <c r="G24" s="42">
        <f>自動日付シミュレーター!C25+14</f>
        <v/>
      </c>
      <c r="H24" s="6" t="n"/>
      <c r="I24" s="9" t="inlineStr">
        <is>
          <t>未着手</t>
        </is>
      </c>
    </row>
    <row r="25" ht="16.2" customHeight="1" s="35">
      <c r="B25" s="6" t="inlineStr">
        <is>
          <t>T-16</t>
        </is>
      </c>
      <c r="C25" s="7" t="inlineStr">
        <is>
          <t>5. 支給申請</t>
        </is>
      </c>
      <c r="D25" s="8" t="inlineStr">
        <is>
          <t>添付書類（出勤簿・賃金台帳・労働条件通知書等）の突合</t>
        </is>
      </c>
      <c r="E25" s="6" t="inlineStr">
        <is>
          <t>社労士/人事</t>
        </is>
      </c>
      <c r="F25" s="42">
        <f>自動日付シミュレーター!C25+15</f>
        <v/>
      </c>
      <c r="G25" s="42">
        <f>自動日付シミュレーター!C25+25</f>
        <v/>
      </c>
      <c r="H25" s="6" t="n"/>
      <c r="I25" s="9" t="inlineStr">
        <is>
          <t>未着手</t>
        </is>
      </c>
    </row>
    <row r="26" ht="16.2" customHeight="1" s="35">
      <c r="B26" s="6" t="inlineStr">
        <is>
          <t>T-17</t>
        </is>
      </c>
      <c r="C26" s="7" t="inlineStr">
        <is>
          <t>5. 支給申請</t>
        </is>
      </c>
      <c r="D26" s="8" t="inlineStr">
        <is>
          <t>管轄労働局への支給申請書の提出・受領（絶対厳守）</t>
        </is>
      </c>
      <c r="E26" s="6" t="inlineStr">
        <is>
          <t>社労士</t>
        </is>
      </c>
      <c r="F26" s="42">
        <f>自動日付シミュレーター!C25+26</f>
        <v/>
      </c>
      <c r="G26" s="44">
        <f>自動日付シミュレーター!C26</f>
        <v/>
      </c>
      <c r="H26" s="6" t="n"/>
      <c r="I26" s="9" t="inlineStr">
        <is>
          <t>未着手</t>
        </is>
      </c>
    </row>
    <row r="27" ht="16.2" customHeight="1" s="35">
      <c r="B27" s="6" t="inlineStr">
        <is>
          <t>T-18</t>
        </is>
      </c>
      <c r="C27" s="7" t="inlineStr">
        <is>
          <t>6. 審査・振込</t>
        </is>
      </c>
      <c r="D27" s="8" t="inlineStr">
        <is>
          <t>労働局審査・追加照会資料の提出対応</t>
        </is>
      </c>
      <c r="E27" s="6" t="inlineStr">
        <is>
          <t>社労士</t>
        </is>
      </c>
      <c r="F27" s="42">
        <f>自動日付シミュレーター!C26+1</f>
        <v/>
      </c>
      <c r="G27" s="42">
        <f>EDATE(自動日付シミュレーター!C26,4)</f>
        <v/>
      </c>
      <c r="H27" s="6" t="n"/>
      <c r="I27" s="9" t="inlineStr">
        <is>
          <t>未着手</t>
        </is>
      </c>
    </row>
    <row r="28" ht="16.2" customHeight="1" s="35">
      <c r="B28" s="6" t="inlineStr">
        <is>
          <t>T-19</t>
        </is>
      </c>
      <c r="C28" s="7" t="inlineStr">
        <is>
          <t>6. 審査・振込</t>
        </is>
      </c>
      <c r="D28" s="8" t="inlineStr">
        <is>
          <t>支給決定通知書の受領</t>
        </is>
      </c>
      <c r="E28" s="6" t="inlineStr">
        <is>
          <t>社労士/人事</t>
        </is>
      </c>
      <c r="F28" s="42">
        <f>EDATE(自動日付シミュレーター!C26,4)+1</f>
        <v/>
      </c>
      <c r="G28" s="42">
        <f>EDATE(自動日付シミュレーター!C26,4)+10</f>
        <v/>
      </c>
      <c r="H28" s="6" t="n"/>
      <c r="I28" s="9" t="inlineStr">
        <is>
          <t>未着手</t>
        </is>
      </c>
    </row>
    <row r="29" ht="16.2" customHeight="1" s="35">
      <c r="B29" s="6" t="inlineStr">
        <is>
          <t>T-20</t>
        </is>
      </c>
      <c r="C29" s="7" t="inlineStr">
        <is>
          <t>6. 審査・振込</t>
        </is>
      </c>
      <c r="D29" s="8" t="inlineStr">
        <is>
          <t>助成金の指定事業口座入金確認</t>
        </is>
      </c>
      <c r="E29" s="6" t="inlineStr">
        <is>
          <t>経理</t>
        </is>
      </c>
      <c r="F29" s="42">
        <f>EDATE(自動日付シミュレーター!C26,4)+11</f>
        <v/>
      </c>
      <c r="G29" s="42">
        <f>自動日付シミュレーター!C28</f>
        <v/>
      </c>
      <c r="H29" s="6" t="n"/>
      <c r="I29" s="9" t="inlineStr">
        <is>
          <t>未着手</t>
        </is>
      </c>
    </row>
  </sheetData>
  <mergeCells count="1">
    <mergeCell ref="B5:C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20"/>
  <sheetViews>
    <sheetView workbookViewId="0">
      <selection activeCell="A1" sqref="A1"/>
    </sheetView>
  </sheetViews>
  <sheetFormatPr baseColWidth="8" defaultRowHeight="13.2"/>
  <cols>
    <col width="25" customWidth="1" style="35" min="2" max="2"/>
    <col width="20" customWidth="1" style="35" min="3" max="3"/>
    <col width="22" customWidth="1" style="35" min="4" max="5"/>
    <col width="18" customWidth="1" style="35" min="6" max="7"/>
    <col width="22" customWidth="1" style="35" min="8" max="8"/>
  </cols>
  <sheetData>
    <row r="2" ht="26.4" customHeight="1" s="35">
      <c r="B2" s="1" t="inlineStr">
        <is>
          <t>キャリアアップ助成金（賃金規定等改定コース）昇給率＆助成想定額シミュレーター</t>
        </is>
      </c>
    </row>
    <row r="3" ht="16.2" customHeight="1" s="35">
      <c r="B3" s="2" t="inlineStr">
        <is>
          <t>※対象者ごとの改定前後の基本給を入力し、3.0%昇給の不支給リスク（端数処理の罠）を防止します。</t>
        </is>
      </c>
    </row>
    <row r="5" ht="17.4" customHeight="1" s="35">
      <c r="B5" s="34" t="inlineStr">
        <is>
          <t>1. 全体昇給判定＆想定助成額の試算結果</t>
        </is>
      </c>
    </row>
    <row r="6" ht="16.2" customHeight="1" s="35">
      <c r="B6" s="5" t="inlineStr">
        <is>
          <t>対象人数</t>
        </is>
      </c>
      <c r="C6" s="5" t="inlineStr">
        <is>
          <t>平均昇給前基本給</t>
        </is>
      </c>
      <c r="D6" s="5" t="inlineStr">
        <is>
          <t>平均昇給後基本給</t>
        </is>
      </c>
      <c r="E6" s="5" t="inlineStr">
        <is>
          <t>全体平均昇給率</t>
        </is>
      </c>
      <c r="F6" s="5" t="inlineStr">
        <is>
          <t>3.0%要件適合判定</t>
        </is>
      </c>
      <c r="G6" s="5" t="inlineStr">
        <is>
          <t>想定助成金受給総額</t>
        </is>
      </c>
    </row>
    <row r="7" ht="26.4" customHeight="1" s="35">
      <c r="B7" s="45">
        <f>COUNTIF(D11:D20,"&gt;0")</f>
        <v/>
      </c>
      <c r="C7" s="46">
        <f>IFERROR(AVERAGEIF(D11:D20,"&gt;0"),0)</f>
        <v/>
      </c>
      <c r="D7" s="46">
        <f>IFERROR(AVERAGEIF(D11:D20,"&gt;0",E11:E20),0)</f>
        <v/>
      </c>
      <c r="E7" s="29">
        <f>IF(C7&gt;0,(D7-C7)/C7,0)</f>
        <v/>
      </c>
      <c r="F7" s="10">
        <f>IF(B7=0,"未入力",IF(AND(E7&gt;=0.03,COUNTIF(H11:H20,"⚠*")=0),"✅ 適合 (全員3.0%以上)","❌ 不適合 (3.0%未満の者あり)"))</f>
        <v/>
      </c>
      <c r="G7" s="47">
        <f>IF(自動日付シミュレーター!C8="中小企業", B7*65000, B7*48000)</f>
        <v/>
      </c>
    </row>
    <row r="9" ht="17.4" customHeight="1" s="35">
      <c r="B9" s="34" t="inlineStr">
        <is>
          <t>2. 対象従業員ごとの基本給改定・昇給率 個別チェックテーブル</t>
        </is>
      </c>
    </row>
    <row r="10" ht="16.2" customHeight="1" s="35">
      <c r="B10" s="5" t="inlineStr">
        <is>
          <t>従業員氏名 / ID</t>
        </is>
      </c>
      <c r="C10" s="5" t="inlineStr">
        <is>
          <t>雇用形態 / 区分</t>
        </is>
      </c>
      <c r="D10" s="5" t="inlineStr">
        <is>
          <t>改定前 基本給(月額)</t>
        </is>
      </c>
      <c r="E10" s="5" t="inlineStr">
        <is>
          <t>改定後 基本給(月額)</t>
        </is>
      </c>
      <c r="F10" s="5" t="inlineStr">
        <is>
          <t>昇給額 (月額)</t>
        </is>
      </c>
      <c r="G10" s="5" t="inlineStr">
        <is>
          <t>昇給率 (%)</t>
        </is>
      </c>
      <c r="H10" s="5" t="inlineStr">
        <is>
          <t>個別判定アラート</t>
        </is>
      </c>
    </row>
    <row r="11" ht="16.2" customHeight="1" s="35">
      <c r="B11" s="7" t="inlineStr">
        <is>
          <t>従業員 A（山田 太郎）</t>
        </is>
      </c>
      <c r="C11" s="8" t="inlineStr">
        <is>
          <t>有期契約社員</t>
        </is>
      </c>
      <c r="D11" s="48" t="n">
        <v>220000</v>
      </c>
      <c r="E11" s="48" t="n">
        <v>228000</v>
      </c>
      <c r="F11" s="49">
        <f>E11-D11</f>
        <v/>
      </c>
      <c r="G11" s="33">
        <f>IF(D11&gt;0, (E11-D11)/D11, 0)</f>
        <v/>
      </c>
      <c r="H11" s="20">
        <f>IF(D11=0, "未入力", IF(G11&gt;=0.03, "OK (適合)", "⚠️ 3%未満 (危険)"))</f>
        <v/>
      </c>
    </row>
    <row r="12" ht="16.2" customHeight="1" s="35">
      <c r="B12" s="7" t="inlineStr">
        <is>
          <t>従業員 B（佐藤 花子）</t>
        </is>
      </c>
      <c r="C12" s="8" t="inlineStr">
        <is>
          <t>パートタイム労働者</t>
        </is>
      </c>
      <c r="D12" s="48" t="n">
        <v>180000</v>
      </c>
      <c r="E12" s="48" t="n">
        <v>186000</v>
      </c>
      <c r="F12" s="49">
        <f>E12-D12</f>
        <v/>
      </c>
      <c r="G12" s="33">
        <f>IF(D12&gt;0, (E12-D12)/D12, 0)</f>
        <v/>
      </c>
      <c r="H12" s="20">
        <f>IF(D12=0, "未入力", IF(G12&gt;=0.03, "OK (適合)", "⚠️ 3%未満 (危険)"))</f>
        <v/>
      </c>
    </row>
    <row r="13" ht="16.2" customHeight="1" s="35">
      <c r="B13" s="7" t="inlineStr">
        <is>
          <t>従業員 C（鈴木 一郎）</t>
        </is>
      </c>
      <c r="C13" s="8" t="inlineStr">
        <is>
          <t>契約社員</t>
        </is>
      </c>
      <c r="D13" s="48" t="n">
        <v>250000</v>
      </c>
      <c r="E13" s="48" t="n">
        <v>258500</v>
      </c>
      <c r="F13" s="49">
        <f>E13-D13</f>
        <v/>
      </c>
      <c r="G13" s="33">
        <f>IF(D13&gt;0, (E13-D13)/D13, 0)</f>
        <v/>
      </c>
      <c r="H13" s="20">
        <f>IF(D13=0, "未入力", IF(G13&gt;=0.03, "OK (適合)", "⚠️ 3%未満 (危険)"))</f>
        <v/>
      </c>
    </row>
    <row r="14" ht="16.2" customHeight="1" s="35">
      <c r="B14" s="7" t="inlineStr">
        <is>
          <t>従業員 D（田中 美咲）</t>
        </is>
      </c>
      <c r="C14" s="8" t="inlineStr">
        <is>
          <t>有期契約社員</t>
        </is>
      </c>
      <c r="D14" s="48" t="n">
        <v>200000</v>
      </c>
      <c r="E14" s="48" t="n">
        <v>206500</v>
      </c>
      <c r="F14" s="49">
        <f>E14-D14</f>
        <v/>
      </c>
      <c r="G14" s="33">
        <f>IF(D14&gt;0, (E14-D14)/D14, 0)</f>
        <v/>
      </c>
      <c r="H14" s="20">
        <f>IF(D14=0, "未入力", IF(G14&gt;=0.03, "OK (適合)", "⚠️ 3%未満 (危険)"))</f>
        <v/>
      </c>
    </row>
    <row r="15" ht="16.2" customHeight="1" s="35">
      <c r="B15" s="7" t="inlineStr">
        <is>
          <t>従業員 E（高橋 健太）</t>
        </is>
      </c>
      <c r="C15" s="8" t="inlineStr">
        <is>
          <t>パートタイム労働者</t>
        </is>
      </c>
      <c r="D15" s="48" t="n">
        <v>190000</v>
      </c>
      <c r="E15" s="48" t="n">
        <v>196200</v>
      </c>
      <c r="F15" s="49">
        <f>E15-D15</f>
        <v/>
      </c>
      <c r="G15" s="33">
        <f>IF(D15&gt;0, (E15-D15)/D15, 0)</f>
        <v/>
      </c>
      <c r="H15" s="20">
        <f>IF(D15=0, "未入力", IF(G15&gt;=0.03, "OK (適合)", "⚠️ 3%未満 (危険)"))</f>
        <v/>
      </c>
    </row>
    <row r="16" ht="16.2" customHeight="1" s="35">
      <c r="B16" s="7" t="inlineStr">
        <is>
          <t>従業員 F</t>
        </is>
      </c>
      <c r="C16" s="8" t="inlineStr">
        <is>
          <t>有期契約社員</t>
        </is>
      </c>
      <c r="D16" s="48" t="n">
        <v>0</v>
      </c>
      <c r="E16" s="48" t="n">
        <v>0</v>
      </c>
      <c r="F16" s="49">
        <f>E16-D16</f>
        <v/>
      </c>
      <c r="G16" s="33">
        <f>IF(D16&gt;0, (E16-D16)/D16, 0)</f>
        <v/>
      </c>
      <c r="H16" s="20">
        <f>IF(D16=0, "未入力", IF(G16&gt;=0.03, "OK (適合)", "⚠️ 3%未満 (危険)"))</f>
        <v/>
      </c>
    </row>
    <row r="17" ht="16.2" customHeight="1" s="35">
      <c r="B17" s="7" t="inlineStr">
        <is>
          <t>従業員 G</t>
        </is>
      </c>
      <c r="C17" s="8" t="inlineStr">
        <is>
          <t>有期契約社員</t>
        </is>
      </c>
      <c r="D17" s="48" t="n">
        <v>0</v>
      </c>
      <c r="E17" s="48" t="n">
        <v>0</v>
      </c>
      <c r="F17" s="49">
        <f>E17-D17</f>
        <v/>
      </c>
      <c r="G17" s="33">
        <f>IF(D17&gt;0, (E17-D17)/D17, 0)</f>
        <v/>
      </c>
      <c r="H17" s="20">
        <f>IF(D17=0, "未入力", IF(G17&gt;=0.03, "OK (適合)", "⚠️ 3%未満 (危険)"))</f>
        <v/>
      </c>
    </row>
    <row r="18" ht="16.2" customHeight="1" s="35">
      <c r="B18" s="7" t="inlineStr">
        <is>
          <t>従業員 H</t>
        </is>
      </c>
      <c r="C18" s="8" t="inlineStr">
        <is>
          <t>有期契約社員</t>
        </is>
      </c>
      <c r="D18" s="48" t="n">
        <v>0</v>
      </c>
      <c r="E18" s="48" t="n">
        <v>0</v>
      </c>
      <c r="F18" s="49">
        <f>E18-D18</f>
        <v/>
      </c>
      <c r="G18" s="33">
        <f>IF(D18&gt;0, (E18-D18)/D18, 0)</f>
        <v/>
      </c>
      <c r="H18" s="20">
        <f>IF(D18=0, "未入力", IF(G18&gt;=0.03, "OK (適合)", "⚠️ 3%未満 (危険)"))</f>
        <v/>
      </c>
    </row>
    <row r="19" ht="16.2" customHeight="1" s="35">
      <c r="B19" s="7" t="inlineStr">
        <is>
          <t>従業員 I</t>
        </is>
      </c>
      <c r="C19" s="8" t="inlineStr">
        <is>
          <t>有期契約社員</t>
        </is>
      </c>
      <c r="D19" s="48" t="n">
        <v>0</v>
      </c>
      <c r="E19" s="48" t="n">
        <v>0</v>
      </c>
      <c r="F19" s="49">
        <f>E19-D19</f>
        <v/>
      </c>
      <c r="G19" s="33">
        <f>IF(D19&gt;0, (E19-D19)/D19, 0)</f>
        <v/>
      </c>
      <c r="H19" s="20">
        <f>IF(D19=0, "未入力", IF(G19&gt;=0.03, "OK (適合)", "⚠️ 3%未満 (危険)"))</f>
        <v/>
      </c>
    </row>
    <row r="20" ht="16.2" customHeight="1" s="35">
      <c r="B20" s="7" t="inlineStr">
        <is>
          <t>従業員 J</t>
        </is>
      </c>
      <c r="C20" s="8" t="inlineStr">
        <is>
          <t>有期契約社員</t>
        </is>
      </c>
      <c r="D20" s="48" t="n">
        <v>0</v>
      </c>
      <c r="E20" s="48" t="n">
        <v>0</v>
      </c>
      <c r="F20" s="49">
        <f>E20-D20</f>
        <v/>
      </c>
      <c r="G20" s="33">
        <f>IF(D20&gt;0, (E20-D20)/D20, 0)</f>
        <v/>
      </c>
      <c r="H20" s="20">
        <f>IF(D20=0, "未入力", IF(G20&gt;=0.03, "OK (適合)", "⚠️ 3%未満 (危険)"))</f>
        <v/>
      </c>
    </row>
  </sheetData>
  <mergeCells count="2">
    <mergeCell ref="B9:G9"/>
    <mergeCell ref="B5:F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G13"/>
  <sheetViews>
    <sheetView workbookViewId="0">
      <selection activeCell="A1" sqref="A1"/>
    </sheetView>
  </sheetViews>
  <sheetFormatPr baseColWidth="8" defaultRowHeight="13.2"/>
  <cols>
    <col width="8" customWidth="1" style="35" min="2" max="2"/>
    <col width="18" customWidth="1" style="35" min="3" max="3"/>
    <col width="45" customWidth="1" style="35" min="4" max="4"/>
    <col width="12" customWidth="1" style="35" min="5" max="5"/>
    <col width="45" customWidth="1" style="35" min="6" max="6"/>
    <col width="35" customWidth="1" style="35" min="7" max="7"/>
  </cols>
  <sheetData>
    <row r="2" ht="26.4" customHeight="1" s="35">
      <c r="B2" s="1" t="inlineStr">
        <is>
          <t>キャリアアップ助成金（賃金規定等改定コース）不支給防止 最終確認チェックリスト</t>
        </is>
      </c>
    </row>
    <row r="3" ht="16.2" customHeight="1" s="35">
      <c r="B3" s="2" t="inlineStr">
        <is>
          <t>※労働局審査での一発却下（不支給）を防ぐため、申請書提出前に必ず以下の8大必須要件を確認してください。</t>
        </is>
      </c>
    </row>
    <row r="5" ht="16.2" customHeight="1" s="35">
      <c r="B5" s="5" t="inlineStr">
        <is>
          <t>No.</t>
        </is>
      </c>
      <c r="C5" s="5" t="inlineStr">
        <is>
          <t>確認区分</t>
        </is>
      </c>
      <c r="D5" s="5" t="inlineStr">
        <is>
          <t>審査要件・チェック項目</t>
        </is>
      </c>
      <c r="E5" s="5" t="inlineStr">
        <is>
          <t>適合判定</t>
        </is>
      </c>
      <c r="F5" s="5" t="inlineStr">
        <is>
          <t>不支給防止のための具体的対策・解説</t>
        </is>
      </c>
      <c r="G5" s="5" t="inlineStr">
        <is>
          <t>提出時 必須添付書類</t>
        </is>
      </c>
    </row>
    <row r="6" ht="16.2" customHeight="1" s="35">
      <c r="B6" s="6" t="n">
        <v>1</v>
      </c>
      <c r="C6" s="7" t="inlineStr">
        <is>
          <t>1. 計画事前提出</t>
        </is>
      </c>
      <c r="D6" s="8" t="inlineStr">
        <is>
          <t>キャリアアップ計画書が改定日の前日までに労働局に提出され、受領印を受領しているか？</t>
        </is>
      </c>
      <c r="E6" s="10" t="inlineStr">
        <is>
          <t>適合</t>
        </is>
      </c>
      <c r="F6" s="14" t="inlineStr">
        <is>
          <t>改定日当日の提出は不可。受領印のある計画書（写）が必須。</t>
        </is>
      </c>
      <c r="G6" s="14" t="inlineStr">
        <is>
          <t>キャリアアップ計画書（写）</t>
        </is>
      </c>
    </row>
    <row r="7" ht="16.2" customHeight="1" s="35">
      <c r="B7" s="6" t="n">
        <v>2</v>
      </c>
      <c r="C7" s="7" t="inlineStr">
        <is>
          <t>2. 昇給率要件</t>
        </is>
      </c>
      <c r="D7" s="8" t="inlineStr">
        <is>
          <t>すべての対象労働者で基本給が「3.0%以上」正しく引き上げられているか？</t>
        </is>
      </c>
      <c r="E7" s="10" t="inlineStr">
        <is>
          <t>適合</t>
        </is>
      </c>
      <c r="F7" s="14" t="inlineStr">
        <is>
          <t>端数処理で2.99%等になると一発不支給。個別の事前計算が必須。</t>
        </is>
      </c>
      <c r="G7" s="14" t="inlineStr">
        <is>
          <t>改定前後の賃金比較表・賃金規程</t>
        </is>
      </c>
    </row>
    <row r="8" ht="16.2" customHeight="1" s="35">
      <c r="B8" s="6" t="n">
        <v>3</v>
      </c>
      <c r="C8" s="7" t="inlineStr">
        <is>
          <t>3. 運用実績</t>
        </is>
      </c>
      <c r="D8" s="8" t="inlineStr">
        <is>
          <t>改定前の賃金規程等が「3か月以上」適正に運用されていた実績があるか？</t>
        </is>
      </c>
      <c r="E8" s="10" t="inlineStr">
        <is>
          <t>適合</t>
        </is>
      </c>
      <c r="F8" s="14" t="inlineStr">
        <is>
          <t>改定前3か月分の賃金台帳・出勤簿で旧規程どおり支給されていることを証明。</t>
        </is>
      </c>
      <c r="G8" s="14" t="inlineStr">
        <is>
          <t>改定前3か月分の賃金台帳・出勤簿</t>
        </is>
      </c>
    </row>
    <row r="9" ht="16.2" customHeight="1" s="35">
      <c r="B9" s="6" t="n">
        <v>4</v>
      </c>
      <c r="C9" s="7" t="inlineStr">
        <is>
          <t>4. 就業規則届出</t>
        </is>
      </c>
      <c r="D9" s="8" t="inlineStr">
        <is>
          <t>改定後の賃金規程が労働基準監督署へ届け出られ、受領印を受領しているか？</t>
        </is>
      </c>
      <c r="E9" s="10" t="inlineStr">
        <is>
          <t>適合</t>
        </is>
      </c>
      <c r="F9" s="14" t="inlineStr">
        <is>
          <t>従業員10人未満の事業場でも労基署への届出（または意見書添え）が必要。</t>
        </is>
      </c>
      <c r="G9" s="14" t="inlineStr">
        <is>
          <t>就業規則変更届・意見書（写）</t>
        </is>
      </c>
    </row>
    <row r="10" ht="16.2" customHeight="1" s="35">
      <c r="B10" s="6" t="n">
        <v>5</v>
      </c>
      <c r="C10" s="7" t="inlineStr">
        <is>
          <t>5. 周知実績</t>
        </is>
      </c>
      <c r="D10" s="8" t="inlineStr">
        <is>
          <t>改定後の賃金規程が全従業員に書面または社内掲示等で周知されているか？</t>
        </is>
      </c>
      <c r="E10" s="10" t="inlineStr">
        <is>
          <t>適合</t>
        </is>
      </c>
      <c r="F10" s="14" t="inlineStr">
        <is>
          <t>周知年月日がわかる社内掲示物や周知結果報告書を保管しておくこと。</t>
        </is>
      </c>
      <c r="G10" s="14" t="inlineStr">
        <is>
          <t>就業規則周知書・社内掲示写真</t>
        </is>
      </c>
    </row>
    <row r="11" ht="16.2" customHeight="1" s="35">
      <c r="B11" s="6" t="n">
        <v>6</v>
      </c>
      <c r="C11" s="7" t="inlineStr">
        <is>
          <t>6. 手当減額禁止</t>
        </is>
      </c>
      <c r="D11" s="8" t="inlineStr">
        <is>
          <t>基本給を引き上げる一方で、他の手当や賞与を合理的な理由なく減額していないか？</t>
        </is>
      </c>
      <c r="E11" s="10" t="inlineStr">
        <is>
          <t>適合</t>
        </is>
      </c>
      <c r="F11" s="14" t="inlineStr">
        <is>
          <t>基本給を3%上げても諸手当を減額すると「処遇改善なし」とみなされ不支給。</t>
        </is>
      </c>
      <c r="G11" s="14" t="inlineStr">
        <is>
          <t>改定前後の各種手当支給実績</t>
        </is>
      </c>
    </row>
    <row r="12" ht="16.2" customHeight="1" s="35">
      <c r="B12" s="6" t="n">
        <v>7</v>
      </c>
      <c r="C12" s="7" t="inlineStr">
        <is>
          <t>7. 実働日数要件</t>
        </is>
      </c>
      <c r="D12" s="8" t="inlineStr">
        <is>
          <t>改定後6か月間の各月において、対象労働者の勤務日数が11日以上あるか？</t>
        </is>
      </c>
      <c r="E12" s="10" t="inlineStr">
        <is>
          <t>適合</t>
        </is>
      </c>
      <c r="F12" s="14" t="inlineStr">
        <is>
          <t>月11日未満の月がある場合、その月は算定から除外され申請時期が延期。</t>
        </is>
      </c>
      <c r="G12" s="14" t="inlineStr">
        <is>
          <t>改定後6か月分の出勤簿・タイムカード</t>
        </is>
      </c>
    </row>
    <row r="13" ht="16.2" customHeight="1" s="35">
      <c r="B13" s="6" t="n">
        <v>8</v>
      </c>
      <c r="C13" s="7" t="inlineStr">
        <is>
          <t>8. 申請期限厳守</t>
        </is>
      </c>
      <c r="D13" s="8" t="inlineStr">
        <is>
          <t>6か月目の賃金支給日の翌日から「2か月以内」に申請書を提出しているか？</t>
        </is>
      </c>
      <c r="E13" s="10" t="inlineStr">
        <is>
          <t>適合</t>
        </is>
      </c>
      <c r="F13" s="14" t="inlineStr">
        <is>
          <t>1日でも期限を過ぎると理由を問わず却下。電子申請または書留郵送。</t>
        </is>
      </c>
      <c r="G13" s="14" t="inlineStr">
        <is>
          <t>支給申請書（様式第3号）・内訳書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2026-10-02T09:36:28Z</dcterms:created>
  <dcterms:modified xsi:type="dcterms:W3CDTF">2026-10-02T09:46:45Z</dcterms:modified>
  <cp:lastModifiedBy>伊藤泰人</cp:lastModifiedBy>
</cp:coreProperties>
</file>